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D:\Sovol\BigTreeTech7\"/>
    </mc:Choice>
  </mc:AlternateContent>
  <xr:revisionPtr revIDLastSave="0" documentId="13_ncr:1_{AE1607DF-44C6-424E-9E01-798AC03531B4}" xr6:coauthVersionLast="47" xr6:coauthVersionMax="47" xr10:uidLastSave="{00000000-0000-0000-0000-000000000000}"/>
  <bookViews>
    <workbookView xWindow="1464" yWindow="1464" windowWidth="23040" windowHeight="12120" xr2:uid="{E565C718-763D-4E38-B20B-7FC0F9FB5F2B}"/>
  </bookViews>
  <sheets>
    <sheet name="Calculator" sheetId="48" r:id="rId1"/>
    <sheet name="Reshimming" sheetId="53" r:id="rId2"/>
    <sheet name="z_tramming_Calc" sheetId="2" r:id="rId3"/>
    <sheet name="Mesh_Data" sheetId="42" r:id="rId4"/>
    <sheet name="Compensator" sheetId="46" r:id="rId5"/>
    <sheet name="Calculate_Compensator_Matrix" sheetId="52" r:id="rId6"/>
    <sheet name="Nozzle_Probe_Points" sheetId="51" r:id="rId7"/>
    <sheet name="PROBE POINTS" sheetId="43" r:id="rId8"/>
  </sheets>
  <definedNames>
    <definedName name="_xlnm._FilterDatabase" localSheetId="2" hidden="1">z_tramming_Calc!#REF!</definedName>
    <definedName name="_xlnm.Criteria" localSheetId="2">z_tramming_Calc!#REF!</definedName>
    <definedName name="_xlnm.Extract" localSheetId="2">z_tramming_Calc!#REF!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2" i="52" l="1"/>
  <c r="D52" i="52"/>
  <c r="E52" i="52"/>
  <c r="F52" i="52"/>
  <c r="G52" i="52"/>
  <c r="H52" i="52"/>
  <c r="I52" i="52"/>
  <c r="J52" i="52"/>
  <c r="K52" i="52"/>
  <c r="C53" i="52"/>
  <c r="D53" i="52"/>
  <c r="E53" i="52"/>
  <c r="F53" i="52"/>
  <c r="G53" i="52"/>
  <c r="H53" i="52"/>
  <c r="I53" i="52"/>
  <c r="J53" i="52"/>
  <c r="K53" i="52"/>
  <c r="C54" i="52"/>
  <c r="D54" i="52"/>
  <c r="E54" i="52"/>
  <c r="F54" i="52"/>
  <c r="G54" i="52"/>
  <c r="H54" i="52"/>
  <c r="I54" i="52"/>
  <c r="J54" i="52"/>
  <c r="K54" i="52"/>
  <c r="C55" i="52"/>
  <c r="D55" i="52"/>
  <c r="E55" i="52"/>
  <c r="F55" i="52"/>
  <c r="G55" i="52"/>
  <c r="H55" i="52"/>
  <c r="I55" i="52"/>
  <c r="J55" i="52"/>
  <c r="K55" i="52"/>
  <c r="C56" i="52"/>
  <c r="D56" i="52"/>
  <c r="E56" i="52"/>
  <c r="F56" i="52"/>
  <c r="G56" i="52"/>
  <c r="H56" i="52"/>
  <c r="I56" i="52"/>
  <c r="J56" i="52"/>
  <c r="K56" i="52"/>
  <c r="C57" i="52"/>
  <c r="D57" i="52"/>
  <c r="E57" i="52"/>
  <c r="F57" i="52"/>
  <c r="G57" i="52"/>
  <c r="H57" i="52"/>
  <c r="I57" i="52"/>
  <c r="J57" i="52"/>
  <c r="K57" i="52"/>
  <c r="C58" i="52"/>
  <c r="D58" i="52"/>
  <c r="E58" i="52"/>
  <c r="F58" i="52"/>
  <c r="G58" i="52"/>
  <c r="H58" i="52"/>
  <c r="I58" i="52"/>
  <c r="J58" i="52"/>
  <c r="K58" i="52"/>
  <c r="C59" i="52"/>
  <c r="D59" i="52"/>
  <c r="E59" i="52"/>
  <c r="F59" i="52"/>
  <c r="G59" i="52"/>
  <c r="H59" i="52"/>
  <c r="I59" i="52"/>
  <c r="J59" i="52"/>
  <c r="K59" i="52"/>
  <c r="C60" i="52"/>
  <c r="D60" i="52"/>
  <c r="E60" i="52"/>
  <c r="F60" i="52"/>
  <c r="G60" i="52"/>
  <c r="H60" i="52"/>
  <c r="I60" i="52"/>
  <c r="J60" i="52"/>
  <c r="K60" i="52"/>
  <c r="C61" i="52"/>
  <c r="D61" i="52"/>
  <c r="E61" i="52"/>
  <c r="F61" i="52"/>
  <c r="G61" i="52"/>
  <c r="H61" i="52"/>
  <c r="I61" i="52"/>
  <c r="J61" i="52"/>
  <c r="K61" i="52"/>
  <c r="B53" i="52"/>
  <c r="B54" i="52"/>
  <c r="B55" i="52"/>
  <c r="B56" i="52"/>
  <c r="B57" i="52"/>
  <c r="B58" i="52"/>
  <c r="B59" i="52"/>
  <c r="B60" i="52"/>
  <c r="B61" i="52"/>
  <c r="B52" i="52"/>
  <c r="C70" i="42" l="1"/>
  <c r="C83" i="42" s="1"/>
  <c r="D70" i="42"/>
  <c r="D83" i="42" s="1"/>
  <c r="E70" i="42"/>
  <c r="E83" i="42" s="1"/>
  <c r="F70" i="42"/>
  <c r="F83" i="42" s="1"/>
  <c r="G70" i="42"/>
  <c r="G83" i="42" s="1"/>
  <c r="H70" i="42"/>
  <c r="H83" i="42" s="1"/>
  <c r="I70" i="42"/>
  <c r="I83" i="42" s="1"/>
  <c r="J70" i="42"/>
  <c r="J83" i="42" s="1"/>
  <c r="K70" i="42"/>
  <c r="K83" i="42" s="1"/>
  <c r="C71" i="42"/>
  <c r="C84" i="42" s="1"/>
  <c r="D71" i="42"/>
  <c r="D84" i="42" s="1"/>
  <c r="E71" i="42"/>
  <c r="E84" i="42" s="1"/>
  <c r="F71" i="42"/>
  <c r="F84" i="42" s="1"/>
  <c r="G71" i="42"/>
  <c r="G84" i="42" s="1"/>
  <c r="H71" i="42"/>
  <c r="H84" i="42" s="1"/>
  <c r="I71" i="42"/>
  <c r="I84" i="42" s="1"/>
  <c r="J71" i="42"/>
  <c r="J84" i="42" s="1"/>
  <c r="K71" i="42"/>
  <c r="K84" i="42" s="1"/>
  <c r="C72" i="42"/>
  <c r="C85" i="42" s="1"/>
  <c r="D72" i="42"/>
  <c r="D85" i="42" s="1"/>
  <c r="E72" i="42"/>
  <c r="E85" i="42" s="1"/>
  <c r="F72" i="42"/>
  <c r="F85" i="42" s="1"/>
  <c r="G72" i="42"/>
  <c r="G85" i="42" s="1"/>
  <c r="H72" i="42"/>
  <c r="H85" i="42" s="1"/>
  <c r="I72" i="42"/>
  <c r="I85" i="42" s="1"/>
  <c r="J72" i="42"/>
  <c r="J85" i="42" s="1"/>
  <c r="K72" i="42"/>
  <c r="K85" i="42" s="1"/>
  <c r="C73" i="42"/>
  <c r="C86" i="42" s="1"/>
  <c r="D73" i="42"/>
  <c r="D86" i="42" s="1"/>
  <c r="E73" i="42"/>
  <c r="E86" i="42" s="1"/>
  <c r="F73" i="42"/>
  <c r="F86" i="42" s="1"/>
  <c r="G73" i="42"/>
  <c r="G86" i="42" s="1"/>
  <c r="H73" i="42"/>
  <c r="H86" i="42" s="1"/>
  <c r="I73" i="42"/>
  <c r="I86" i="42" s="1"/>
  <c r="J73" i="42"/>
  <c r="J86" i="42" s="1"/>
  <c r="K73" i="42"/>
  <c r="K86" i="42" s="1"/>
  <c r="C74" i="42"/>
  <c r="C87" i="42" s="1"/>
  <c r="D74" i="42"/>
  <c r="D87" i="42" s="1"/>
  <c r="E74" i="42"/>
  <c r="E87" i="42" s="1"/>
  <c r="F74" i="42"/>
  <c r="F87" i="42" s="1"/>
  <c r="G74" i="42"/>
  <c r="G87" i="42" s="1"/>
  <c r="H74" i="42"/>
  <c r="H87" i="42" s="1"/>
  <c r="I74" i="42"/>
  <c r="I87" i="42" s="1"/>
  <c r="J74" i="42"/>
  <c r="J87" i="42" s="1"/>
  <c r="K74" i="42"/>
  <c r="K87" i="42" s="1"/>
  <c r="C75" i="42"/>
  <c r="C88" i="42" s="1"/>
  <c r="D75" i="42"/>
  <c r="D88" i="42" s="1"/>
  <c r="E75" i="42"/>
  <c r="E88" i="42" s="1"/>
  <c r="F75" i="42"/>
  <c r="F88" i="42" s="1"/>
  <c r="G75" i="42"/>
  <c r="G88" i="42" s="1"/>
  <c r="H75" i="42"/>
  <c r="H88" i="42" s="1"/>
  <c r="I75" i="42"/>
  <c r="I88" i="42" s="1"/>
  <c r="J75" i="42"/>
  <c r="J88" i="42" s="1"/>
  <c r="K75" i="42"/>
  <c r="K88" i="42" s="1"/>
  <c r="C76" i="42"/>
  <c r="C89" i="42" s="1"/>
  <c r="D76" i="42"/>
  <c r="D89" i="42" s="1"/>
  <c r="E76" i="42"/>
  <c r="E89" i="42" s="1"/>
  <c r="F76" i="42"/>
  <c r="F89" i="42" s="1"/>
  <c r="G76" i="42"/>
  <c r="G89" i="42" s="1"/>
  <c r="H76" i="42"/>
  <c r="H89" i="42" s="1"/>
  <c r="I76" i="42"/>
  <c r="I89" i="42" s="1"/>
  <c r="J76" i="42"/>
  <c r="J89" i="42" s="1"/>
  <c r="K76" i="42"/>
  <c r="K89" i="42" s="1"/>
  <c r="C77" i="42"/>
  <c r="C90" i="42" s="1"/>
  <c r="D77" i="42"/>
  <c r="D90" i="42" s="1"/>
  <c r="E77" i="42"/>
  <c r="E90" i="42" s="1"/>
  <c r="F77" i="42"/>
  <c r="F90" i="42" s="1"/>
  <c r="G77" i="42"/>
  <c r="G90" i="42" s="1"/>
  <c r="H77" i="42"/>
  <c r="H90" i="42" s="1"/>
  <c r="I77" i="42"/>
  <c r="I90" i="42" s="1"/>
  <c r="J77" i="42"/>
  <c r="J90" i="42" s="1"/>
  <c r="K77" i="42"/>
  <c r="K90" i="42" s="1"/>
  <c r="C78" i="42"/>
  <c r="C91" i="42" s="1"/>
  <c r="D78" i="42"/>
  <c r="D91" i="42" s="1"/>
  <c r="E78" i="42"/>
  <c r="E91" i="42" s="1"/>
  <c r="F78" i="42"/>
  <c r="F91" i="42" s="1"/>
  <c r="G78" i="42"/>
  <c r="G91" i="42" s="1"/>
  <c r="H78" i="42"/>
  <c r="H91" i="42" s="1"/>
  <c r="I78" i="42"/>
  <c r="I91" i="42" s="1"/>
  <c r="J78" i="42"/>
  <c r="J91" i="42" s="1"/>
  <c r="K78" i="42"/>
  <c r="K91" i="42" s="1"/>
  <c r="C79" i="42"/>
  <c r="C92" i="42" s="1"/>
  <c r="D79" i="42"/>
  <c r="D92" i="42" s="1"/>
  <c r="E79" i="42"/>
  <c r="E92" i="42" s="1"/>
  <c r="F79" i="42"/>
  <c r="F92" i="42" s="1"/>
  <c r="G79" i="42"/>
  <c r="G92" i="42" s="1"/>
  <c r="H79" i="42"/>
  <c r="H92" i="42" s="1"/>
  <c r="I79" i="42"/>
  <c r="I92" i="42" s="1"/>
  <c r="J79" i="42"/>
  <c r="J92" i="42" s="1"/>
  <c r="K79" i="42"/>
  <c r="K92" i="42" s="1"/>
  <c r="B71" i="42"/>
  <c r="B84" i="42" s="1"/>
  <c r="B72" i="42"/>
  <c r="B85" i="42" s="1"/>
  <c r="B73" i="42"/>
  <c r="B86" i="42" s="1"/>
  <c r="B74" i="42"/>
  <c r="B87" i="42" s="1"/>
  <c r="B75" i="42"/>
  <c r="B88" i="42" s="1"/>
  <c r="B76" i="42"/>
  <c r="B89" i="42" s="1"/>
  <c r="B77" i="42"/>
  <c r="B90" i="42" s="1"/>
  <c r="B78" i="42"/>
  <c r="B91" i="42" s="1"/>
  <c r="B79" i="42"/>
  <c r="B92" i="42" s="1"/>
  <c r="B70" i="42"/>
  <c r="B83" i="42" s="1"/>
  <c r="J19" i="42"/>
  <c r="H19" i="42"/>
  <c r="F19" i="42"/>
  <c r="D19" i="42"/>
  <c r="B19" i="42"/>
  <c r="F21" i="52"/>
  <c r="C42" i="42"/>
  <c r="D42" i="42"/>
  <c r="E42" i="42"/>
  <c r="F42" i="42"/>
  <c r="G42" i="42"/>
  <c r="H42" i="42"/>
  <c r="I42" i="42"/>
  <c r="J42" i="42"/>
  <c r="K42" i="42"/>
  <c r="C43" i="42"/>
  <c r="D43" i="42"/>
  <c r="E43" i="42"/>
  <c r="F43" i="42"/>
  <c r="G43" i="42"/>
  <c r="H43" i="42"/>
  <c r="I43" i="42"/>
  <c r="J43" i="42"/>
  <c r="K43" i="42"/>
  <c r="C44" i="42"/>
  <c r="D44" i="42"/>
  <c r="E44" i="42"/>
  <c r="F44" i="42"/>
  <c r="G44" i="42"/>
  <c r="H44" i="42"/>
  <c r="I44" i="42"/>
  <c r="J44" i="42"/>
  <c r="K44" i="42"/>
  <c r="C45" i="42"/>
  <c r="D45" i="42"/>
  <c r="E45" i="42"/>
  <c r="F45" i="42"/>
  <c r="G45" i="42"/>
  <c r="H45" i="42"/>
  <c r="I45" i="42"/>
  <c r="J45" i="42"/>
  <c r="K45" i="42"/>
  <c r="C46" i="42"/>
  <c r="D46" i="42"/>
  <c r="E46" i="42"/>
  <c r="F46" i="42"/>
  <c r="G46" i="42"/>
  <c r="H46" i="42"/>
  <c r="I46" i="42"/>
  <c r="J46" i="42"/>
  <c r="K46" i="42"/>
  <c r="C47" i="42"/>
  <c r="D47" i="42"/>
  <c r="E47" i="42"/>
  <c r="F47" i="42"/>
  <c r="G47" i="42"/>
  <c r="H47" i="42"/>
  <c r="I47" i="42"/>
  <c r="J47" i="42"/>
  <c r="K47" i="42"/>
  <c r="C48" i="42"/>
  <c r="D48" i="42"/>
  <c r="E48" i="42"/>
  <c r="F48" i="42"/>
  <c r="G48" i="42"/>
  <c r="H48" i="42"/>
  <c r="I48" i="42"/>
  <c r="J48" i="42"/>
  <c r="K48" i="42"/>
  <c r="C49" i="42"/>
  <c r="D49" i="42"/>
  <c r="E49" i="42"/>
  <c r="F49" i="42"/>
  <c r="G49" i="42"/>
  <c r="H49" i="42"/>
  <c r="I49" i="42"/>
  <c r="J49" i="42"/>
  <c r="K49" i="42"/>
  <c r="C50" i="42"/>
  <c r="D50" i="42"/>
  <c r="E50" i="42"/>
  <c r="F50" i="42"/>
  <c r="G50" i="42"/>
  <c r="H50" i="42"/>
  <c r="I50" i="42"/>
  <c r="J50" i="42"/>
  <c r="K50" i="42"/>
  <c r="C51" i="42"/>
  <c r="D51" i="42"/>
  <c r="E51" i="42"/>
  <c r="F51" i="42"/>
  <c r="G51" i="42"/>
  <c r="H51" i="42"/>
  <c r="I51" i="42"/>
  <c r="J51" i="42"/>
  <c r="K51" i="42"/>
  <c r="B43" i="42"/>
  <c r="B44" i="42"/>
  <c r="B45" i="42"/>
  <c r="B46" i="42"/>
  <c r="B47" i="42"/>
  <c r="B48" i="42"/>
  <c r="B49" i="42"/>
  <c r="B50" i="42"/>
  <c r="B51" i="42"/>
  <c r="B42" i="42"/>
  <c r="A21" i="42" l="1"/>
  <c r="F81" i="53" l="1"/>
  <c r="E81" i="53"/>
  <c r="D78" i="53"/>
  <c r="C78" i="53"/>
  <c r="G59" i="53"/>
  <c r="K84" i="53" s="1"/>
  <c r="B10" i="53"/>
  <c r="B9" i="53"/>
  <c r="E78" i="53" l="1"/>
  <c r="F78" i="53"/>
  <c r="G78" i="53"/>
  <c r="J81" i="53"/>
  <c r="H82" i="53"/>
  <c r="I82" i="53"/>
  <c r="I75" i="53"/>
  <c r="J75" i="53"/>
  <c r="K75" i="53"/>
  <c r="F80" i="53"/>
  <c r="G81" i="53"/>
  <c r="H81" i="53"/>
  <c r="I81" i="53"/>
  <c r="H78" i="53"/>
  <c r="G75" i="53"/>
  <c r="J78" i="53"/>
  <c r="J82" i="53"/>
  <c r="B79" i="53"/>
  <c r="B83" i="53"/>
  <c r="D79" i="53"/>
  <c r="D83" i="53"/>
  <c r="E83" i="53"/>
  <c r="E76" i="53"/>
  <c r="F83" i="53"/>
  <c r="F76" i="53"/>
  <c r="G80" i="53"/>
  <c r="K77" i="53"/>
  <c r="F75" i="53"/>
  <c r="I78" i="53"/>
  <c r="H75" i="53"/>
  <c r="K78" i="53"/>
  <c r="K82" i="53"/>
  <c r="C79" i="53"/>
  <c r="B76" i="53"/>
  <c r="C83" i="53"/>
  <c r="C76" i="53"/>
  <c r="E79" i="53"/>
  <c r="D76" i="53"/>
  <c r="D80" i="53"/>
  <c r="E80" i="53"/>
  <c r="G83" i="53"/>
  <c r="G76" i="53"/>
  <c r="H83" i="53"/>
  <c r="H76" i="53"/>
  <c r="H80" i="53"/>
  <c r="I83" i="53"/>
  <c r="I76" i="53"/>
  <c r="I80" i="53"/>
  <c r="J83" i="53"/>
  <c r="J76" i="53"/>
  <c r="J80" i="53"/>
  <c r="K83" i="53"/>
  <c r="K76" i="53"/>
  <c r="K80" i="53"/>
  <c r="B84" i="53"/>
  <c r="J77" i="53"/>
  <c r="B81" i="53"/>
  <c r="C84" i="53"/>
  <c r="C81" i="53"/>
  <c r="D84" i="53"/>
  <c r="B78" i="53"/>
  <c r="D81" i="53"/>
  <c r="F84" i="53"/>
  <c r="F79" i="53"/>
  <c r="G79" i="53"/>
  <c r="H79" i="53"/>
  <c r="E77" i="53"/>
  <c r="I79" i="53"/>
  <c r="C82" i="53"/>
  <c r="G84" i="53"/>
  <c r="E84" i="53"/>
  <c r="B75" i="53"/>
  <c r="F77" i="53"/>
  <c r="J79" i="53"/>
  <c r="D82" i="53"/>
  <c r="H84" i="53"/>
  <c r="B77" i="53"/>
  <c r="K81" i="53"/>
  <c r="D77" i="53"/>
  <c r="C75" i="53"/>
  <c r="G77" i="53"/>
  <c r="K79" i="53"/>
  <c r="E82" i="53"/>
  <c r="I84" i="53"/>
  <c r="D75" i="53"/>
  <c r="H77" i="53"/>
  <c r="B80" i="53"/>
  <c r="F82" i="53"/>
  <c r="J84" i="53"/>
  <c r="C77" i="53"/>
  <c r="B82" i="53"/>
  <c r="E75" i="53"/>
  <c r="I77" i="53"/>
  <c r="C80" i="53"/>
  <c r="G82" i="53"/>
  <c r="I17" i="51" l="1" a="1"/>
  <c r="I17" i="51" s="1"/>
  <c r="H17" i="51" a="1"/>
  <c r="H17" i="51" s="1"/>
  <c r="G17" i="51" a="1"/>
  <c r="K26" i="51" s="1"/>
  <c r="F17" i="51" a="1"/>
  <c r="J25" i="51" s="1"/>
  <c r="J24" i="51" l="1"/>
  <c r="J19" i="51"/>
  <c r="J20" i="51"/>
  <c r="K20" i="51"/>
  <c r="K21" i="51"/>
  <c r="K23" i="51"/>
  <c r="F17" i="51"/>
  <c r="J17" i="51" s="1"/>
  <c r="K25" i="51"/>
  <c r="J26" i="51"/>
  <c r="K19" i="51"/>
  <c r="J21" i="51"/>
  <c r="J22" i="51"/>
  <c r="K22" i="51"/>
  <c r="J23" i="51"/>
  <c r="K24" i="51"/>
  <c r="G17" i="51"/>
  <c r="K17" i="51" s="1"/>
  <c r="K18" i="51" l="1"/>
  <c r="K27" i="51" s="1"/>
  <c r="J18" i="51"/>
  <c r="J27" i="51" s="1"/>
  <c r="E52" i="2"/>
  <c r="I82" i="42"/>
  <c r="H14" i="46"/>
  <c r="G75" i="2"/>
  <c r="F75" i="2"/>
  <c r="C56" i="2"/>
  <c r="D56" i="2" s="1"/>
  <c r="E56" i="2" s="1"/>
  <c r="E49" i="2"/>
  <c r="E50" i="2" s="1"/>
  <c r="I75" i="2"/>
  <c r="H75" i="2"/>
  <c r="H72" i="2"/>
  <c r="H73" i="2"/>
  <c r="H74" i="2"/>
  <c r="H71" i="2"/>
  <c r="F71" i="2"/>
  <c r="E48" i="2"/>
  <c r="F50" i="2" s="1"/>
  <c r="F49" i="2" l="1"/>
  <c r="E51" i="2"/>
  <c r="L22" i="2" l="1"/>
  <c r="L23" i="2"/>
  <c r="L24" i="2"/>
  <c r="L25" i="2"/>
  <c r="L26" i="2"/>
  <c r="L27" i="2"/>
  <c r="L28" i="2"/>
  <c r="L29" i="2"/>
  <c r="L30" i="2"/>
  <c r="L31" i="2"/>
  <c r="C76" i="2"/>
  <c r="N36" i="2"/>
  <c r="O36" i="2" s="1"/>
  <c r="C37" i="2"/>
  <c r="C36" i="2"/>
  <c r="C38" i="2" l="1"/>
  <c r="I74" i="2" l="1"/>
  <c r="I73" i="2"/>
  <c r="I72" i="2"/>
  <c r="I71" i="2"/>
  <c r="I69" i="2" s="1"/>
  <c r="I77" i="2" s="1"/>
  <c r="I78" i="2" s="1"/>
  <c r="N23" i="2"/>
  <c r="N24" i="2"/>
  <c r="N25" i="2"/>
  <c r="N26" i="2"/>
  <c r="N27" i="2"/>
  <c r="N28" i="2"/>
  <c r="N29" i="2"/>
  <c r="N30" i="2"/>
  <c r="N31" i="2"/>
  <c r="N22" i="2"/>
  <c r="C33" i="2"/>
  <c r="D33" i="2"/>
  <c r="E33" i="2"/>
  <c r="F33" i="2"/>
  <c r="G33" i="2"/>
  <c r="H33" i="2"/>
  <c r="I33" i="2"/>
  <c r="J33" i="2"/>
  <c r="K33" i="2"/>
  <c r="M23" i="2"/>
  <c r="M24" i="2"/>
  <c r="M25" i="2"/>
  <c r="M26" i="2"/>
  <c r="M27" i="2"/>
  <c r="M28" i="2"/>
  <c r="M29" i="2"/>
  <c r="M30" i="2"/>
  <c r="M31" i="2"/>
  <c r="D57" i="2"/>
  <c r="E57" i="2"/>
  <c r="C57" i="2"/>
  <c r="C35" i="2"/>
  <c r="C34" i="2"/>
  <c r="C39" i="2" s="1"/>
  <c r="G71" i="2" l="1"/>
  <c r="G69" i="2" s="1"/>
  <c r="G77" i="2" s="1"/>
  <c r="G78" i="2" s="1"/>
  <c r="M22" i="2"/>
  <c r="L32" i="2"/>
  <c r="L34" i="2" l="1"/>
  <c r="I79" i="2" l="1"/>
  <c r="G59" i="2" l="1"/>
  <c r="F59" i="2"/>
  <c r="C58" i="2"/>
  <c r="C60" i="2"/>
  <c r="E59" i="2"/>
  <c r="D59" i="2"/>
  <c r="F58" i="2" l="1"/>
  <c r="F60" i="2"/>
  <c r="G60" i="2"/>
  <c r="G58" i="2"/>
  <c r="D60" i="2"/>
  <c r="D58" i="2"/>
  <c r="E60" i="2"/>
  <c r="E58" i="2"/>
  <c r="F66" i="2"/>
  <c r="H66" i="2" l="1"/>
  <c r="J66" i="2"/>
  <c r="K66" i="2" s="1"/>
  <c r="F23" i="42" l="1"/>
  <c r="B99" i="42" l="1"/>
  <c r="B98" i="42"/>
  <c r="B102" i="42"/>
  <c r="B95" i="42"/>
  <c r="B100" i="42"/>
  <c r="B103" i="42"/>
  <c r="B104" i="42"/>
  <c r="B96" i="42"/>
  <c r="B97" i="42"/>
  <c r="B101" i="42"/>
  <c r="E40" i="4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<sst xmlns="http://schemas.openxmlformats.org/spreadsheetml/2006/main" count="764" uniqueCount="171">
  <si>
    <t>STDEV</t>
  </si>
  <si>
    <t>VAR</t>
  </si>
  <si>
    <t>Probe X_offset</t>
  </si>
  <si>
    <t>mm</t>
  </si>
  <si>
    <t>tramming pts nozzle positions</t>
  </si>
  <si>
    <t>tramming pts probe positions</t>
  </si>
  <si>
    <t>X bed mesh probe positions</t>
  </si>
  <si>
    <t>Y bed mesh probe positions</t>
  </si>
  <si>
    <t>X nozzle position</t>
  </si>
  <si>
    <t>Y nozzle position</t>
  </si>
  <si>
    <t>calculated</t>
  </si>
  <si>
    <t>Slopes-&gt;</t>
  </si>
  <si>
    <t>back left</t>
  </si>
  <si>
    <t>back right</t>
  </si>
  <si>
    <t>Hardware Measurements</t>
  </si>
  <si>
    <t>calculated diff. on Right Screw</t>
  </si>
  <si>
    <t>calculated minutes</t>
  </si>
  <si>
    <t>front left</t>
  </si>
  <si>
    <t>centers distance  between Z screws</t>
  </si>
  <si>
    <t>front right</t>
  </si>
  <si>
    <t>x-&gt;</t>
  </si>
  <si>
    <t>Y DOWN</t>
  </si>
  <si>
    <t>X</t>
  </si>
  <si>
    <t>Y</t>
  </si>
  <si>
    <t>x slopes</t>
  </si>
  <si>
    <t>averages</t>
  </si>
  <si>
    <t>TO LOWER RIGHT SIDE RAIL TURN CCW</t>
  </si>
  <si>
    <t>Left screw center to nozzle tip at 0</t>
  </si>
  <si>
    <t>X bed max</t>
  </si>
  <si>
    <t>BICUBIC 4,4 interpolation, tension 0.5.</t>
  </si>
  <si>
    <t>Probe Y_offset</t>
  </si>
  <si>
    <t>FINAL bicubic</t>
  </si>
  <si>
    <t>FINAL</t>
  </si>
  <si>
    <t>max</t>
  </si>
  <si>
    <t>min</t>
  </si>
  <si>
    <t>range</t>
  </si>
  <si>
    <t>2 pt original@ screw</t>
  </si>
  <si>
    <t>aver. Slope</t>
  </si>
  <si>
    <t>deviation</t>
  </si>
  <si>
    <t>points</t>
  </si>
  <si>
    <t>AXIS SET UP INFO</t>
  </si>
  <si>
    <t>Z TILT CALCULATIONS</t>
  </si>
  <si>
    <t>AVER</t>
  </si>
  <si>
    <t>bed mesh original with x axis twist compensation engaged</t>
  </si>
  <si>
    <t>is</t>
  </si>
  <si>
    <r>
      <t xml:space="preserve">BED MESH DATA @ 60 </t>
    </r>
    <r>
      <rPr>
        <b/>
        <sz val="11"/>
        <color theme="1"/>
        <rFont val="Calibri"/>
        <family val="2"/>
      </rPr>
      <t>°</t>
    </r>
    <r>
      <rPr>
        <b/>
        <sz val="9.9"/>
        <color theme="1"/>
        <rFont val="Calibri"/>
        <family val="2"/>
      </rPr>
      <t>C</t>
    </r>
  </si>
  <si>
    <t>tool x</t>
  </si>
  <si>
    <t>tool y</t>
  </si>
  <si>
    <t>probe x</t>
  </si>
  <si>
    <t>probe y</t>
  </si>
  <si>
    <t>95% confidence</t>
  </si>
  <si>
    <t>not useful</t>
  </si>
  <si>
    <t>tool = nozzle</t>
  </si>
  <si>
    <r>
      <t>Y</t>
    </r>
    <r>
      <rPr>
        <b/>
        <sz val="11"/>
        <color theme="1"/>
        <rFont val="Calibri"/>
        <family val="2"/>
      </rPr>
      <t>↓; X→</t>
    </r>
    <r>
      <rPr>
        <b/>
        <sz val="11"/>
        <color theme="1"/>
        <rFont val="Calibri"/>
        <family val="2"/>
        <scheme val="minor"/>
      </rPr>
      <t xml:space="preserve"> probe</t>
    </r>
  </si>
  <si>
    <t>thia</t>
  </si>
  <si>
    <t>bed_mesh_output</t>
  </si>
  <si>
    <t>pgp=1</t>
  </si>
  <si>
    <t>|</t>
  </si>
  <si>
    <t>(0.0</t>
  </si>
  <si>
    <t>225.0)</t>
  </si>
  <si>
    <t>(27.0</t>
  </si>
  <si>
    <t>205.0)</t>
  </si>
  <si>
    <t>(20.3</t>
  </si>
  <si>
    <t>(47.3</t>
  </si>
  <si>
    <t>(40.7</t>
  </si>
  <si>
    <t>(67.7</t>
  </si>
  <si>
    <t>(61.0</t>
  </si>
  <si>
    <t>(88.0</t>
  </si>
  <si>
    <t>(81.3</t>
  </si>
  <si>
    <t>(108.3</t>
  </si>
  <si>
    <t>(101.6</t>
  </si>
  <si>
    <t>(128.6</t>
  </si>
  <si>
    <t>(122.0</t>
  </si>
  <si>
    <t>(149.0</t>
  </si>
  <si>
    <t>(142.3</t>
  </si>
  <si>
    <t>(169.3</t>
  </si>
  <si>
    <t>(162.6</t>
  </si>
  <si>
    <t>(189.6</t>
  </si>
  <si>
    <t>(183.0</t>
  </si>
  <si>
    <t>(210.0</t>
  </si>
  <si>
    <t>203.5)</t>
  </si>
  <si>
    <t>183.5)</t>
  </si>
  <si>
    <t>182.1)</t>
  </si>
  <si>
    <t>162.1)</t>
  </si>
  <si>
    <t>160.6)</t>
  </si>
  <si>
    <t>140.6)</t>
  </si>
  <si>
    <t>139.2)</t>
  </si>
  <si>
    <t>119.2)</t>
  </si>
  <si>
    <t>117.8)</t>
  </si>
  <si>
    <t>97.8)</t>
  </si>
  <si>
    <t>96.3)</t>
  </si>
  <si>
    <t>76.3)</t>
  </si>
  <si>
    <t>74.9)</t>
  </si>
  <si>
    <t>54.9)</t>
  </si>
  <si>
    <t>53.4)</t>
  </si>
  <si>
    <t>33.4)</t>
  </si>
  <si>
    <t>32.0)</t>
  </si>
  <si>
    <t>12.0)</t>
  </si>
  <si>
    <t>bed_mesh:</t>
  </si>
  <si>
    <t>generated</t>
  </si>
  <si>
    <t>Index</t>
  </si>
  <si>
    <t>Tool</t>
  </si>
  <si>
    <t>Adjusted</t>
  </si>
  <si>
    <t>Probe</t>
  </si>
  <si>
    <t>used find and replace to remove the time, then sort by A.</t>
  </si>
  <si>
    <t>average</t>
  </si>
  <si>
    <t>"#*#"&amp;"        "&amp;TEXT(N50,"0.000000")&amp;", "&amp;TEXT(N50,"0.000000")&amp;", "&amp;TEXT(O50,"0.000000")&amp;", "&amp;TEXT(P50,"0.000000")&amp;",  "&amp;TEXT(Q50,"0.000000")&amp;",  "&amp;TEXT(R50,"0.000000")&amp;",  "&amp;TEXT(S50,"0.000000")&amp;", "&amp;TEXT(T50,"0.000000")&amp;",  "&amp;TEXT(U50,"0.000000")&amp;", "&amp;TEXT(V50,"0.000000")</t>
  </si>
  <si>
    <t>NEW IDEA FROM STUFF AT LEFT</t>
  </si>
  <si>
    <t>new Z offset</t>
  </si>
  <si>
    <t>color range: -0.15 to 0.15</t>
  </si>
  <si>
    <t>step size</t>
  </si>
  <si>
    <t>5 point</t>
  </si>
  <si>
    <t>X position</t>
  </si>
  <si>
    <t>Z probe ht</t>
  </si>
  <si>
    <t>x probe</t>
  </si>
  <si>
    <t>x probe from left screw</t>
  </si>
  <si>
    <t>X Probe positions</t>
  </si>
  <si>
    <t>grid size = bed size = X bed max - x_offset</t>
  </si>
  <si>
    <t>Y center</t>
  </si>
  <si>
    <t>Y gap</t>
  </si>
  <si>
    <t xml:space="preserve">slope at two points </t>
  </si>
  <si>
    <t>rotate screw</t>
  </si>
  <si>
    <t>or at screw is</t>
  </si>
  <si>
    <t>Theoretical</t>
  </si>
  <si>
    <t>X probe position from L screw</t>
  </si>
  <si>
    <t>True slope trigger to change z tilt in range 0-193, if diff=0.04</t>
  </si>
  <si>
    <t>Example calculation using one row at Y 110</t>
  </si>
  <si>
    <t>right - left range mm</t>
  </si>
  <si>
    <t>color limits -0.15, +0.15</t>
  </si>
  <si>
    <t>Z Offset</t>
  </si>
  <si>
    <t>aver.</t>
  </si>
  <si>
    <t>at Z Offset:</t>
  </si>
  <si>
    <t>Note the z_offset can be changed here if desired, THIS WILL REQUIRE CHANGING THE Z_OFFSET IN PRINTER.CFG BED MESH SECTION.</t>
  </si>
  <si>
    <t>Final mesh  to be added to printer.cfg</t>
  </si>
  <si>
    <t>mult by -1</t>
  </si>
  <si>
    <t>formula for creating new mesh from compensated, if it gets lost</t>
  </si>
  <si>
    <t>In the case of Z_TRAMMING_GRD, the data is put out to the console as a five tuples of [(X_coord, Z_ht_value),…...] form</t>
  </si>
  <si>
    <t>DATA BELOW IS FOR REFERENCE. IT DOES NOT NEED TO BE FILLED IN TO DO THE TRAMMING CALCULATION STARTING AT A65. ALL CELLS SHOWN IN YELLOW, MUST BE FILLED IN BY THE USER.</t>
  </si>
  <si>
    <t>Average</t>
  </si>
  <si>
    <t>bed mesh averaged with any offset change</t>
  </si>
  <si>
    <t>get difference</t>
  </si>
  <si>
    <t>Find unique values in each column</t>
  </si>
  <si>
    <t>DIFF</t>
  </si>
  <si>
    <t>x</t>
  </si>
  <si>
    <t>y</t>
  </si>
  <si>
    <t>average tool/probe jump</t>
  </si>
  <si>
    <t xml:space="preserve">After </t>
  </si>
  <si>
    <t>Y↓ X→</t>
  </si>
  <si>
    <r>
      <t xml:space="preserve">Y </t>
    </r>
    <r>
      <rPr>
        <b/>
        <sz val="11"/>
        <color theme="1"/>
        <rFont val="Calibri"/>
        <family val="2"/>
      </rPr>
      <t>↓</t>
    </r>
    <r>
      <rPr>
        <b/>
        <sz val="11"/>
        <color theme="1"/>
        <rFont val="Calibri"/>
        <family val="2"/>
        <scheme val="minor"/>
      </rPr>
      <t>X →</t>
    </r>
  </si>
  <si>
    <t>AVERAGE</t>
  </si>
  <si>
    <t>RANGE</t>
  </si>
  <si>
    <t>new offset</t>
  </si>
  <si>
    <t>This is the manually derived compensator. RAISING THE VALUES LOWERS THE NOZZLE</t>
  </si>
  <si>
    <t>z_offset =</t>
  </si>
  <si>
    <t>Average  inductive probe runs normalized to average bed mesh</t>
  </si>
  <si>
    <t>11/9/2025 reshimmied bed; added 20 mm to front center after finding 10 mm led to good edge, but dip at  Y33 mm. Added double 20 mm square edge piece at X220 Y0</t>
  </si>
  <si>
    <t>Compensated bed mesh  copied from [Compensator]</t>
  </si>
  <si>
    <t xml:space="preserve">Compensator to be copied to [Mesh_Data]  </t>
  </si>
  <si>
    <t>MAX</t>
  </si>
  <si>
    <t>MIN</t>
  </si>
  <si>
    <t>SPAN</t>
  </si>
  <si>
    <t>STD</t>
  </si>
  <si>
    <t>Original Inductive Bed Mesh + Compensator</t>
  </si>
  <si>
    <t>TRANSFER COLUMN B BELOW TO PRINTER.CFG  SAVE_CONFIG section under [BED_MESH_DEFAULT] AND REMOVE CURRENT MATRIX</t>
  </si>
  <si>
    <t>Previous  mesh for comparison</t>
  </si>
  <si>
    <t>COPY THE ORIGINAL COMPENSATOR HERE BEFORE MAKING CHANGES TO LEFT MATRIX</t>
  </si>
  <si>
    <t>Compensator minus inductive bed mesh</t>
  </si>
  <si>
    <t>9/25/25 original bed mesh starting point</t>
  </si>
  <si>
    <t>Average  inductive probe runs normalized to average bed mesh, data from [Reshimming]</t>
  </si>
  <si>
    <t>MAX DIST.</t>
  </si>
  <si>
    <t>TO USE THE BELOW EXAMPLE FILL IN THE FIVE ROWS STARTING AT C71 WITH THE X COORDS, AND THE FIVE CORRESPONDING Z VALUES STARTING AT D71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</si>
</sst>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
    <numFmt numFmtId="165" formatCode="0.00000"/>
    <numFmt numFmtId="166" formatCode="0.000000"/>
    <numFmt numFmtId="167" formatCode="0.000"/>
  </numFmts>
  <fonts count="8" x14ac:knownFonts="1">
    <font>
      <sz val="11"/>
      <color theme="1"/>
      <name val="Calibri"/>
      <family val="2"/>
      <scheme val="minor"/>
    </font>
    <font>
      <sz val="10.45"/>
      <color rgb="FFFFFFFF"/>
      <name val="Courier New"/>
      <family val="3"/>
    </font>
    <font>
      <sz val="8"/>
      <name val="Calibri"/>
      <family val="2"/>
      <scheme val="minor"/>
    </font>
    <font>
      <b/>
      <sz val="11"/>
      <color theme="1"/>
      <name val="Calibri"/>
      <family val="2"/>
      <scheme val="minor"/>
    </font>
    <font>
      <b/>
      <sz val="11"/>
      <color theme="1"/>
      <name val="Calibri"/>
      <family val="2"/>
    </font>
    <font>
      <b/>
      <sz val="9.9"/>
      <color theme="1"/>
      <name val="Calibri"/>
      <family val="2"/>
    </font>
    <font>
      <sz val="10.45"/>
      <name val="Courier New"/>
      <family val="3"/>
    </font>
    <font>
      <b/>
      <sz val="11"/>
      <color rgb="FF00000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5">
    <xf numFmtId="0" fontId="0" fillId="0" borderId="0" xfId="0"/>
    <xf numFmtId="164" fontId="0" fillId="0" borderId="0" xfId="0" applyNumberFormat="1"/>
    <xf numFmtId="0" fontId="1" fillId="0" borderId="0" xfId="0" applyFont="1" applyAlignment="1">
      <alignment horizontal="left" vertical="center" indent="1"/>
    </xf>
    <xf numFmtId="18" fontId="1" fillId="0" borderId="0" xfId="0" applyNumberFormat="1" applyFont="1" applyAlignment="1">
      <alignment horizontal="left" vertical="center" indent="1"/>
    </xf>
    <xf numFmtId="0" fontId="3" fillId="0" borderId="0" xfId="0" applyFont="1"/>
    <xf numFmtId="2" fontId="3" fillId="0" borderId="0" xfId="0" applyNumberFormat="1" applyFont="1"/>
    <xf numFmtId="2" fontId="0" fillId="0" borderId="0" xfId="0" applyNumberFormat="1"/>
    <xf numFmtId="0" fontId="0" fillId="0" borderId="0" xfId="0" applyAlignment="1">
      <alignment horizontal="center" wrapText="1"/>
    </xf>
    <xf numFmtId="0" fontId="3" fillId="0" borderId="0" xfId="0" applyFont="1" applyAlignment="1">
      <alignment horizontal="center"/>
    </xf>
    <xf numFmtId="165" fontId="0" fillId="0" borderId="0" xfId="0" applyNumberFormat="1"/>
    <xf numFmtId="166" fontId="0" fillId="0" borderId="0" xfId="0" applyNumberFormat="1"/>
    <xf numFmtId="166" fontId="0" fillId="0" borderId="0" xfId="0" applyNumberFormat="1" applyAlignment="1">
      <alignment horizontal="center" wrapText="1"/>
    </xf>
    <xf numFmtId="166" fontId="3" fillId="0" borderId="0" xfId="0" applyNumberFormat="1" applyFont="1"/>
    <xf numFmtId="167" fontId="0" fillId="0" borderId="0" xfId="0" applyNumberFormat="1"/>
    <xf numFmtId="0" fontId="6" fillId="0" borderId="0" xfId="0" applyFont="1" applyAlignment="1">
      <alignment horizontal="left" vertical="center" indent="1"/>
    </xf>
    <xf numFmtId="20" fontId="0" fillId="0" borderId="0" xfId="0" applyNumberFormat="1"/>
    <xf numFmtId="167" fontId="3" fillId="0" borderId="0" xfId="0" applyNumberFormat="1" applyFont="1"/>
    <xf numFmtId="0" fontId="3" fillId="2" borderId="0" xfId="0" applyFont="1" applyFill="1"/>
    <xf numFmtId="164" fontId="3" fillId="0" borderId="0" xfId="0" applyNumberFormat="1" applyFont="1"/>
    <xf numFmtId="2" fontId="3" fillId="2" borderId="0" xfId="0" applyNumberFormat="1" applyFont="1" applyFill="1"/>
    <xf numFmtId="0" fontId="3" fillId="0" borderId="0" xfId="0" applyFont="1" applyAlignment="1">
      <alignment horizontal="right"/>
    </xf>
    <xf numFmtId="14" fontId="0" fillId="0" borderId="0" xfId="0" applyNumberFormat="1"/>
    <xf numFmtId="14" fontId="3" fillId="0" borderId="0" xfId="0" applyNumberFormat="1" applyFont="1"/>
    <xf numFmtId="0" fontId="3" fillId="0" borderId="0" xfId="0" applyFont="1" applyAlignment="1">
      <alignment horizontal="center"/>
    </xf>
    <xf numFmtId="0" fontId="7" fillId="0" borderId="0" xfId="0" applyFont="1"/>
  </cellXfs>
  <cellStyles count="1">
    <cellStyle name="Normal" xfId="0" builtinId="0"/>
  </cellStyles>
  <dxfs count="0"/>
  <tableStyles count="1" defaultTableStyle="TableStyleMedium2" defaultPivotStyle="PivotStyleLight16">
    <tableStyle name="Invisible" pivot="0" table="0" count="0" xr9:uid="{CE274600-956E-45A6-B2B9-3F62F726040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"Flat"</a:t>
            </a:r>
            <a:r>
              <a:rPr lang="en-US" b="1" baseline="0"/>
              <a:t> Mesh per Bed Mesh Calibration</a:t>
            </a:r>
            <a:endParaRPr lang="en-US" b="1"/>
          </a:p>
        </c:rich>
      </c:tx>
      <c:layout>
        <c:manualLayout>
          <c:xMode val="edge"/>
          <c:yMode val="edge"/>
          <c:x val="0.25072468027630135"/>
          <c:y val="3.8034852992237585E-2"/>
        </c:manualLayout>
      </c:layout>
      <c:overlay val="0"/>
      <c:spPr>
        <a:noFill/>
        <a:ln>
          <a:noFill/>
        </a:ln>
        <a:effectLst/>
      </c:spPr>
    </c:title>
    <c:autoTitleDeleted val="0"/>
    <c:view3D>
      <c:rotX val="15"/>
      <c:rotY val="20"/>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z_tramming_Calc!$A$22</c:f>
              <c:strCache>
                <c:ptCount val="1"/>
                <c:pt idx="0">
                  <c:v>12.00</c:v>
                </c:pt>
              </c:strCache>
            </c:strRef>
          </c:tx>
          <c:spPr>
            <a:solidFill>
              <a:schemeClr val="accent1"/>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z_tramming_Calc!$B$22:$K$22</c:f>
              <c:numCache>
                <c:formatCode>0.0000</c:formatCode>
                <c:ptCount val="10"/>
                <c:pt idx="0">
                  <c:v>2.0500040000000025E-2</c:v>
                </c:pt>
                <c:pt idx="1">
                  <c:v>2.3000040000000013E-2</c:v>
                </c:pt>
                <c:pt idx="2">
                  <c:v>-2.7416959999999983E-2</c:v>
                </c:pt>
                <c:pt idx="3">
                  <c:v>3.0000400000000163E-3</c:v>
                </c:pt>
                <c:pt idx="4">
                  <c:v>-3.4082959999999982E-2</c:v>
                </c:pt>
                <c:pt idx="5">
                  <c:v>-2.8666959999999981E-2</c:v>
                </c:pt>
                <c:pt idx="6">
                  <c:v>-5.7499599999999845E-3</c:v>
                </c:pt>
                <c:pt idx="7">
                  <c:v>3.5917040000000025E-2</c:v>
                </c:pt>
                <c:pt idx="8">
                  <c:v>2.5830400000000156E-3</c:v>
                </c:pt>
                <c:pt idx="9">
                  <c:v>3.5917040000000025E-2</c:v>
                </c:pt>
              </c:numCache>
            </c:numRef>
          </c:val>
          <c:extLst>
            <c:ext xmlns:c16="http://schemas.microsoft.com/office/drawing/2014/chart" uri="{C3380CC4-5D6E-409C-BE32-E72D297353CC}">
              <c16:uniqueId val="{00000000-F8FA-4EFF-90E8-771B3E5096D3}"/>
            </c:ext>
          </c:extLst>
        </c:ser>
        <c:ser>
          <c:idx val="1"/>
          <c:order val="1"/>
          <c:tx>
            <c:strRef>
              <c:f>z_tramming_Calc!$A$23</c:f>
              <c:strCache>
                <c:ptCount val="1"/>
                <c:pt idx="0">
                  <c:v>33.44</c:v>
                </c:pt>
              </c:strCache>
            </c:strRef>
          </c:tx>
          <c:spPr>
            <a:solidFill>
              <a:schemeClr val="accent2"/>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z_tramming_Calc!$B$23:$K$23</c:f>
              <c:numCache>
                <c:formatCode>0.0000</c:formatCode>
                <c:ptCount val="10"/>
                <c:pt idx="0">
                  <c:v>-1.0332959999999981E-2</c:v>
                </c:pt>
                <c:pt idx="1">
                  <c:v>-8.2499599999999798E-3</c:v>
                </c:pt>
                <c:pt idx="2">
                  <c:v>-6.6999959999999983E-2</c:v>
                </c:pt>
                <c:pt idx="3">
                  <c:v>-5.2832959999999984E-2</c:v>
                </c:pt>
                <c:pt idx="4">
                  <c:v>-6.6166959999999983E-2</c:v>
                </c:pt>
                <c:pt idx="5">
                  <c:v>-3.5332959999999983E-2</c:v>
                </c:pt>
                <c:pt idx="6">
                  <c:v>-1.616695999999998E-2</c:v>
                </c:pt>
                <c:pt idx="7">
                  <c:v>3.0000400000000163E-3</c:v>
                </c:pt>
                <c:pt idx="8">
                  <c:v>-1.7416959999999981E-2</c:v>
                </c:pt>
                <c:pt idx="9">
                  <c:v>-1.3666959999999985E-2</c:v>
                </c:pt>
              </c:numCache>
            </c:numRef>
          </c:val>
          <c:extLst>
            <c:ext xmlns:c16="http://schemas.microsoft.com/office/drawing/2014/chart" uri="{C3380CC4-5D6E-409C-BE32-E72D297353CC}">
              <c16:uniqueId val="{00000001-F8FA-4EFF-90E8-771B3E5096D3}"/>
            </c:ext>
          </c:extLst>
        </c:ser>
        <c:ser>
          <c:idx val="2"/>
          <c:order val="2"/>
          <c:tx>
            <c:strRef>
              <c:f>z_tramming_Calc!$A$24</c:f>
              <c:strCache>
                <c:ptCount val="1"/>
                <c:pt idx="0">
                  <c:v>54.89</c:v>
                </c:pt>
              </c:strCache>
            </c:strRef>
          </c:tx>
          <c:spPr>
            <a:solidFill>
              <a:schemeClr val="accent3"/>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z_tramming_Calc!$B$24:$K$24</c:f>
              <c:numCache>
                <c:formatCode>0.0000</c:formatCode>
                <c:ptCount val="10"/>
                <c:pt idx="0">
                  <c:v>1.8417040000000023E-2</c:v>
                </c:pt>
                <c:pt idx="1">
                  <c:v>1.508304000000002E-2</c:v>
                </c:pt>
                <c:pt idx="2">
                  <c:v>-4.741695999999998E-2</c:v>
                </c:pt>
                <c:pt idx="3">
                  <c:v>-4.3666959999999984E-2</c:v>
                </c:pt>
                <c:pt idx="4">
                  <c:v>-6.1999959999999979E-2</c:v>
                </c:pt>
                <c:pt idx="5">
                  <c:v>-2.9499959999999981E-2</c:v>
                </c:pt>
                <c:pt idx="6">
                  <c:v>-8.6669599999999805E-3</c:v>
                </c:pt>
                <c:pt idx="7">
                  <c:v>1.7500400000000152E-3</c:v>
                </c:pt>
                <c:pt idx="8">
                  <c:v>3.0000400000000163E-3</c:v>
                </c:pt>
                <c:pt idx="9">
                  <c:v>3.417040000000017E-3</c:v>
                </c:pt>
              </c:numCache>
            </c:numRef>
          </c:val>
          <c:extLst>
            <c:ext xmlns:c16="http://schemas.microsoft.com/office/drawing/2014/chart" uri="{C3380CC4-5D6E-409C-BE32-E72D297353CC}">
              <c16:uniqueId val="{00000002-F8FA-4EFF-90E8-771B3E5096D3}"/>
            </c:ext>
          </c:extLst>
        </c:ser>
        <c:ser>
          <c:idx val="3"/>
          <c:order val="3"/>
          <c:tx>
            <c:strRef>
              <c:f>z_tramming_Calc!$A$25</c:f>
              <c:strCache>
                <c:ptCount val="1"/>
                <c:pt idx="0">
                  <c:v>76.33</c:v>
                </c:pt>
              </c:strCache>
            </c:strRef>
          </c:tx>
          <c:spPr>
            <a:solidFill>
              <a:schemeClr val="accent4"/>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z_tramming_Calc!$B$25:$K$25</c:f>
              <c:numCache>
                <c:formatCode>0.0000</c:formatCode>
                <c:ptCount val="10"/>
                <c:pt idx="0">
                  <c:v>3.0917040000000021E-2</c:v>
                </c:pt>
                <c:pt idx="1">
                  <c:v>1.9250040000000024E-2</c:v>
                </c:pt>
                <c:pt idx="2">
                  <c:v>-2.4916959999999981E-2</c:v>
                </c:pt>
                <c:pt idx="3">
                  <c:v>-1.9499959999999983E-2</c:v>
                </c:pt>
                <c:pt idx="4">
                  <c:v>-4.9499959999999982E-2</c:v>
                </c:pt>
                <c:pt idx="5">
                  <c:v>-1.6999959999999981E-2</c:v>
                </c:pt>
                <c:pt idx="6">
                  <c:v>9.1704000000001479E-4</c:v>
                </c:pt>
                <c:pt idx="7">
                  <c:v>2.2167040000000013E-2</c:v>
                </c:pt>
                <c:pt idx="8">
                  <c:v>5.0830400000000178E-3</c:v>
                </c:pt>
                <c:pt idx="9">
                  <c:v>3.0083040000000019E-2</c:v>
                </c:pt>
              </c:numCache>
            </c:numRef>
          </c:val>
          <c:extLst>
            <c:ext xmlns:c16="http://schemas.microsoft.com/office/drawing/2014/chart" uri="{C3380CC4-5D6E-409C-BE32-E72D297353CC}">
              <c16:uniqueId val="{00000003-F8FA-4EFF-90E8-771B3E5096D3}"/>
            </c:ext>
          </c:extLst>
        </c:ser>
        <c:ser>
          <c:idx val="4"/>
          <c:order val="4"/>
          <c:tx>
            <c:strRef>
              <c:f>z_tramming_Calc!$A$26</c:f>
              <c:strCache>
                <c:ptCount val="1"/>
                <c:pt idx="0">
                  <c:v>97.78</c:v>
                </c:pt>
              </c:strCache>
            </c:strRef>
          </c:tx>
          <c:spPr>
            <a:solidFill>
              <a:schemeClr val="accent5"/>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z_tramming_Calc!$B$26:$K$26</c:f>
              <c:numCache>
                <c:formatCode>0.0000</c:formatCode>
                <c:ptCount val="10"/>
                <c:pt idx="0">
                  <c:v>3.8000040000000013E-2</c:v>
                </c:pt>
                <c:pt idx="1">
                  <c:v>3.050004000000002E-2</c:v>
                </c:pt>
                <c:pt idx="2">
                  <c:v>-8.6669599999999805E-3</c:v>
                </c:pt>
                <c:pt idx="3">
                  <c:v>-1.1166959999999983E-2</c:v>
                </c:pt>
                <c:pt idx="4">
                  <c:v>-4.6166959999999979E-2</c:v>
                </c:pt>
                <c:pt idx="5">
                  <c:v>-1.6999959999999981E-2</c:v>
                </c:pt>
                <c:pt idx="6">
                  <c:v>-3.3295999999997938E-4</c:v>
                </c:pt>
                <c:pt idx="7">
                  <c:v>1.8417040000000023E-2</c:v>
                </c:pt>
                <c:pt idx="8">
                  <c:v>-1.9999599999999812E-3</c:v>
                </c:pt>
                <c:pt idx="9">
                  <c:v>2.0917040000000012E-2</c:v>
                </c:pt>
              </c:numCache>
            </c:numRef>
          </c:val>
          <c:extLst>
            <c:ext xmlns:c16="http://schemas.microsoft.com/office/drawing/2014/chart" uri="{C3380CC4-5D6E-409C-BE32-E72D297353CC}">
              <c16:uniqueId val="{00000004-F8FA-4EFF-90E8-771B3E5096D3}"/>
            </c:ext>
          </c:extLst>
        </c:ser>
        <c:ser>
          <c:idx val="5"/>
          <c:order val="5"/>
          <c:tx>
            <c:strRef>
              <c:f>z_tramming_Calc!$A$27</c:f>
              <c:strCache>
                <c:ptCount val="1"/>
                <c:pt idx="0">
                  <c:v>119.22</c:v>
                </c:pt>
              </c:strCache>
            </c:strRef>
          </c:tx>
          <c:spPr>
            <a:solidFill>
              <a:schemeClr val="accent6"/>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z_tramming_Calc!$B$27:$K$27</c:f>
              <c:numCache>
                <c:formatCode>0.0000</c:formatCode>
                <c:ptCount val="10"/>
                <c:pt idx="0">
                  <c:v>4.3000040000000017E-2</c:v>
                </c:pt>
                <c:pt idx="1">
                  <c:v>3.3000040000000022E-2</c:v>
                </c:pt>
                <c:pt idx="2">
                  <c:v>-9.4999599999999809E-3</c:v>
                </c:pt>
                <c:pt idx="3">
                  <c:v>-1.2416959999999984E-2</c:v>
                </c:pt>
                <c:pt idx="4">
                  <c:v>-5.3249959999999985E-2</c:v>
                </c:pt>
                <c:pt idx="5">
                  <c:v>-2.5332959999999981E-2</c:v>
                </c:pt>
                <c:pt idx="6">
                  <c:v>-3.666959999999983E-3</c:v>
                </c:pt>
                <c:pt idx="7">
                  <c:v>2.5500040000000015E-2</c:v>
                </c:pt>
                <c:pt idx="8">
                  <c:v>3.8330400000000167E-3</c:v>
                </c:pt>
                <c:pt idx="9">
                  <c:v>2.8000040000000018E-2</c:v>
                </c:pt>
              </c:numCache>
            </c:numRef>
          </c:val>
          <c:extLst>
            <c:ext xmlns:c16="http://schemas.microsoft.com/office/drawing/2014/chart" uri="{C3380CC4-5D6E-409C-BE32-E72D297353CC}">
              <c16:uniqueId val="{00000005-F8FA-4EFF-90E8-771B3E5096D3}"/>
            </c:ext>
          </c:extLst>
        </c:ser>
        <c:ser>
          <c:idx val="6"/>
          <c:order val="6"/>
          <c:tx>
            <c:strRef>
              <c:f>z_tramming_Calc!$A$28</c:f>
              <c:strCache>
                <c:ptCount val="1"/>
                <c:pt idx="0">
                  <c:v>140.67</c:v>
                </c:pt>
              </c:strCache>
            </c:strRef>
          </c:tx>
          <c:spPr>
            <a:solidFill>
              <a:schemeClr val="accent1">
                <a:lumMod val="60000"/>
              </a:schemeClr>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z_tramming_Calc!$B$28:$K$28</c:f>
              <c:numCache>
                <c:formatCode>0.0000</c:formatCode>
                <c:ptCount val="10"/>
                <c:pt idx="0">
                  <c:v>4.3000040000000017E-2</c:v>
                </c:pt>
                <c:pt idx="1">
                  <c:v>3.6750040000000012E-2</c:v>
                </c:pt>
                <c:pt idx="2">
                  <c:v>-9.4999599999999809E-3</c:v>
                </c:pt>
                <c:pt idx="3">
                  <c:v>-8.2499599999999798E-3</c:v>
                </c:pt>
                <c:pt idx="4">
                  <c:v>-3.8666959999999979E-2</c:v>
                </c:pt>
                <c:pt idx="5">
                  <c:v>-1.8249959999999982E-2</c:v>
                </c:pt>
                <c:pt idx="6">
                  <c:v>1.3330400000000214E-3</c:v>
                </c:pt>
                <c:pt idx="7">
                  <c:v>1.1333040000000016E-2</c:v>
                </c:pt>
                <c:pt idx="8">
                  <c:v>-4.0829599999999827E-3</c:v>
                </c:pt>
                <c:pt idx="9">
                  <c:v>1.8833040000000023E-2</c:v>
                </c:pt>
              </c:numCache>
            </c:numRef>
          </c:val>
          <c:extLst>
            <c:ext xmlns:c16="http://schemas.microsoft.com/office/drawing/2014/chart" uri="{C3380CC4-5D6E-409C-BE32-E72D297353CC}">
              <c16:uniqueId val="{00000006-F8FA-4EFF-90E8-771B3E5096D3}"/>
            </c:ext>
          </c:extLst>
        </c:ser>
        <c:ser>
          <c:idx val="7"/>
          <c:order val="7"/>
          <c:tx>
            <c:strRef>
              <c:f>z_tramming_Calc!$A$29</c:f>
              <c:strCache>
                <c:ptCount val="1"/>
                <c:pt idx="0">
                  <c:v>162.11</c:v>
                </c:pt>
              </c:strCache>
            </c:strRef>
          </c:tx>
          <c:spPr>
            <a:solidFill>
              <a:schemeClr val="accent2">
                <a:lumMod val="60000"/>
              </a:schemeClr>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z_tramming_Calc!$B$29:$K$29</c:f>
              <c:numCache>
                <c:formatCode>0.0000</c:formatCode>
                <c:ptCount val="10"/>
                <c:pt idx="0">
                  <c:v>3.5500040000000024E-2</c:v>
                </c:pt>
                <c:pt idx="1">
                  <c:v>2.3833040000000014E-2</c:v>
                </c:pt>
                <c:pt idx="2">
                  <c:v>-1.574995999999998E-2</c:v>
                </c:pt>
                <c:pt idx="3">
                  <c:v>-6.1669599999999783E-3</c:v>
                </c:pt>
                <c:pt idx="4">
                  <c:v>-2.9916959999999982E-2</c:v>
                </c:pt>
                <c:pt idx="5">
                  <c:v>-6.9999599999999787E-3</c:v>
                </c:pt>
                <c:pt idx="6">
                  <c:v>1.3330400000000214E-3</c:v>
                </c:pt>
                <c:pt idx="7">
                  <c:v>2.3000040000000013E-2</c:v>
                </c:pt>
                <c:pt idx="8">
                  <c:v>9.6670400000000156E-3</c:v>
                </c:pt>
                <c:pt idx="9">
                  <c:v>3.0917040000000021E-2</c:v>
                </c:pt>
              </c:numCache>
            </c:numRef>
          </c:val>
          <c:extLst>
            <c:ext xmlns:c16="http://schemas.microsoft.com/office/drawing/2014/chart" uri="{C3380CC4-5D6E-409C-BE32-E72D297353CC}">
              <c16:uniqueId val="{00000007-F8FA-4EFF-90E8-771B3E5096D3}"/>
            </c:ext>
          </c:extLst>
        </c:ser>
        <c:ser>
          <c:idx val="8"/>
          <c:order val="8"/>
          <c:tx>
            <c:strRef>
              <c:f>z_tramming_Calc!$A$30</c:f>
              <c:strCache>
                <c:ptCount val="1"/>
                <c:pt idx="0">
                  <c:v>183.56</c:v>
                </c:pt>
              </c:strCache>
            </c:strRef>
          </c:tx>
          <c:spPr>
            <a:solidFill>
              <a:schemeClr val="accent3">
                <a:lumMod val="60000"/>
              </a:schemeClr>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z_tramming_Calc!$B$30:$K$30</c:f>
              <c:numCache>
                <c:formatCode>0.0000</c:formatCode>
                <c:ptCount val="10"/>
                <c:pt idx="0">
                  <c:v>1.5917040000000021E-2</c:v>
                </c:pt>
                <c:pt idx="1">
                  <c:v>1.2583040000000018E-2</c:v>
                </c:pt>
                <c:pt idx="2">
                  <c:v>-2.3666959999999983E-2</c:v>
                </c:pt>
                <c:pt idx="3">
                  <c:v>-6.1669599999999783E-3</c:v>
                </c:pt>
                <c:pt idx="4">
                  <c:v>-2.4916959999999981E-2</c:v>
                </c:pt>
                <c:pt idx="5">
                  <c:v>-7.4995999999998009E-4</c:v>
                </c:pt>
                <c:pt idx="6">
                  <c:v>1.3000040000000018E-2</c:v>
                </c:pt>
                <c:pt idx="7">
                  <c:v>2.0500040000000025E-2</c:v>
                </c:pt>
                <c:pt idx="8">
                  <c:v>3.8330400000000167E-3</c:v>
                </c:pt>
                <c:pt idx="9">
                  <c:v>3.7167040000000012E-2</c:v>
                </c:pt>
              </c:numCache>
            </c:numRef>
          </c:val>
          <c:extLst>
            <c:ext xmlns:c16="http://schemas.microsoft.com/office/drawing/2014/chart" uri="{C3380CC4-5D6E-409C-BE32-E72D297353CC}">
              <c16:uniqueId val="{00000008-F8FA-4EFF-90E8-771B3E5096D3}"/>
            </c:ext>
          </c:extLst>
        </c:ser>
        <c:ser>
          <c:idx val="9"/>
          <c:order val="9"/>
          <c:tx>
            <c:strRef>
              <c:f>z_tramming_Calc!$A$31</c:f>
              <c:strCache>
                <c:ptCount val="1"/>
                <c:pt idx="0">
                  <c:v>205.00</c:v>
                </c:pt>
              </c:strCache>
            </c:strRef>
          </c:tx>
          <c:spPr>
            <a:solidFill>
              <a:schemeClr val="accent4">
                <a:lumMod val="60000"/>
              </a:schemeClr>
            </a:solidFill>
            <a:ln/>
            <a:effectLst/>
            <a:sp3d/>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z_tramming_Calc!$B$31:$K$31</c:f>
              <c:numCache>
                <c:formatCode>0.0000</c:formatCode>
                <c:ptCount val="10"/>
                <c:pt idx="0">
                  <c:v>2.5917040000000016E-2</c:v>
                </c:pt>
                <c:pt idx="1">
                  <c:v>2.4667040000000015E-2</c:v>
                </c:pt>
                <c:pt idx="2">
                  <c:v>6.3330400000000189E-3</c:v>
                </c:pt>
                <c:pt idx="3">
                  <c:v>2.6750040000000017E-2</c:v>
                </c:pt>
                <c:pt idx="4">
                  <c:v>-1.7832959999999981E-2</c:v>
                </c:pt>
                <c:pt idx="5">
                  <c:v>1.6333040000000021E-2</c:v>
                </c:pt>
                <c:pt idx="6">
                  <c:v>2.5083040000000015E-2</c:v>
                </c:pt>
                <c:pt idx="7">
                  <c:v>3.4667040000000024E-2</c:v>
                </c:pt>
                <c:pt idx="8">
                  <c:v>1.7167040000000022E-2</c:v>
                </c:pt>
                <c:pt idx="9">
                  <c:v>5.5083040000000014E-2</c:v>
                </c:pt>
              </c:numCache>
            </c:numRef>
          </c:val>
          <c:extLst>
            <c:ext xmlns:c16="http://schemas.microsoft.com/office/drawing/2014/chart" uri="{C3380CC4-5D6E-409C-BE32-E72D297353CC}">
              <c16:uniqueId val="{00000009-F8FA-4EFF-90E8-771B3E5096D3}"/>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2017134624"/>
        <c:axId val="2017135104"/>
        <c:axId val="1637814432"/>
      </c:surface3DChart>
      <c:catAx>
        <c:axId val="2017134624"/>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5104"/>
        <c:crosses val="autoZero"/>
        <c:auto val="1"/>
        <c:lblAlgn val="ctr"/>
        <c:lblOffset val="100"/>
        <c:noMultiLvlLbl val="0"/>
      </c:catAx>
      <c:valAx>
        <c:axId val="2017135104"/>
        <c:scaling>
          <c:orientation val="minMax"/>
          <c:max val="0.2"/>
          <c:min val="-0.2"/>
        </c:scaling>
        <c:delete val="0"/>
        <c:axPos val="l"/>
        <c:majorGridlines>
          <c:spPr>
            <a:ln w="9525" cap="flat" cmpd="sng" algn="ctr">
              <a:solidFill>
                <a:schemeClr val="tx1">
                  <a:lumMod val="15000"/>
                  <a:lumOff val="85000"/>
                </a:schemeClr>
              </a:solidFill>
              <a:prstDash val="solid"/>
              <a:round/>
            </a:ln>
            <a:effectLst/>
          </c:spPr>
        </c:majorGridlines>
        <c:numFmt formatCode="0.0000"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4624"/>
        <c:crosses val="autoZero"/>
        <c:crossBetween val="midCat"/>
        <c:majorUnit val="2.0000000000000004E-2"/>
      </c:valAx>
      <c:serAx>
        <c:axId val="1637814432"/>
        <c:scaling>
          <c:orientation val="minMax"/>
        </c:scaling>
        <c:delete val="0"/>
        <c:axPos val="b"/>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5104"/>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No Shims Added</a:t>
            </a:r>
          </a:p>
        </c:rich>
      </c:tx>
      <c:overlay val="0"/>
      <c:spPr>
        <a:noFill/>
        <a:ln>
          <a:noFill/>
        </a:ln>
        <a:effectLst/>
      </c:spPr>
    </c:title>
    <c:autoTitleDeleted val="0"/>
    <c:view3D>
      <c:rotX val="90"/>
      <c:rotY val="0"/>
      <c:rAngAx val="0"/>
      <c:perspective val="0"/>
    </c:view3D>
    <c:floor>
      <c:thickness val="0"/>
      <c:spPr>
        <a:solidFill>
          <a:schemeClr val="tx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6185003901539343E-2"/>
          <c:y val="0.12296544035674473"/>
          <c:w val="0.85271827780002074"/>
          <c:h val="0.63223664767656551"/>
        </c:manualLayout>
      </c:layout>
      <c:surfaceChart>
        <c:wireframe val="1"/>
        <c:ser>
          <c:idx val="0"/>
          <c:order val="0"/>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0-ED74-41A4-8E51-9DEAFA25F86C}"/>
            </c:ext>
          </c:extLst>
        </c:ser>
        <c:ser>
          <c:idx val="1"/>
          <c:order val="1"/>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1-ED74-41A4-8E51-9DEAFA25F86C}"/>
            </c:ext>
          </c:extLst>
        </c:ser>
        <c:ser>
          <c:idx val="2"/>
          <c:order val="2"/>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2-ED74-41A4-8E51-9DEAFA25F86C}"/>
            </c:ext>
          </c:extLst>
        </c:ser>
        <c:ser>
          <c:idx val="3"/>
          <c:order val="3"/>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3-ED74-41A4-8E51-9DEAFA25F86C}"/>
            </c:ext>
          </c:extLst>
        </c:ser>
        <c:ser>
          <c:idx val="4"/>
          <c:order val="4"/>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4-ED74-41A4-8E51-9DEAFA25F86C}"/>
            </c:ext>
          </c:extLst>
        </c:ser>
        <c:ser>
          <c:idx val="5"/>
          <c:order val="5"/>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5-ED74-41A4-8E51-9DEAFA25F86C}"/>
            </c:ext>
          </c:extLst>
        </c:ser>
        <c:ser>
          <c:idx val="6"/>
          <c:order val="6"/>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6-ED74-41A4-8E51-9DEAFA25F86C}"/>
            </c:ext>
          </c:extLst>
        </c:ser>
        <c:ser>
          <c:idx val="7"/>
          <c:order val="7"/>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7-ED74-41A4-8E51-9DEAFA25F86C}"/>
            </c:ext>
          </c:extLst>
        </c:ser>
        <c:ser>
          <c:idx val="8"/>
          <c:order val="8"/>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8-ED74-41A4-8E51-9DEAFA25F86C}"/>
            </c:ext>
          </c:extLst>
        </c:ser>
        <c:ser>
          <c:idx val="9"/>
          <c:order val="9"/>
          <c:val>
            <c:numRef>
              <c:f>z_tramming_Calc!#REF!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z_tramming_Calc!#REF!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z_tramming_Calc!#REF!</c15:sqref>
                        </c15:formulaRef>
                      </c:ext>
                    </c:extLst>
                  </c:multiLvlStrRef>
                </c15:cat>
              </c15:filteredCategoryTitle>
            </c:ext>
            <c:ext xmlns:c16="http://schemas.microsoft.com/office/drawing/2014/chart" uri="{C3380CC4-5D6E-409C-BE32-E72D297353CC}">
              <c16:uniqueId val="{00000009-ED74-41A4-8E51-9DEAFA25F86C}"/>
            </c:ext>
          </c:extLst>
        </c:ser>
        <c:bandFmts>
          <c:bandFmt>
            <c:idx val="10"/>
            <c:spPr>
              <a:ln w="9525" cap="rnd">
                <a:solidFill>
                  <a:schemeClr val="accent5">
                    <a:lumMod val="60000"/>
                  </a:schemeClr>
                </a:solidFill>
                <a:round/>
              </a:ln>
              <a:effectLst/>
            </c:spPr>
          </c:bandFmt>
          <c:bandFmt>
            <c:idx val="11"/>
            <c:spPr>
              <a:ln w="9525" cap="rnd">
                <a:solidFill>
                  <a:schemeClr val="accent6">
                    <a:lumMod val="60000"/>
                  </a:schemeClr>
                </a:solidFill>
                <a:round/>
              </a:ln>
              <a:effectLst/>
            </c:spPr>
          </c:bandFmt>
          <c:bandFmt>
            <c:idx val="12"/>
            <c:spPr>
              <a:ln w="9525" cap="rnd">
                <a:solidFill>
                  <a:schemeClr val="accent1">
                    <a:lumMod val="80000"/>
                    <a:lumOff val="20000"/>
                  </a:schemeClr>
                </a:solidFill>
                <a:round/>
              </a:ln>
              <a:effectLst/>
            </c:spPr>
          </c:bandFmt>
          <c:bandFmt>
            <c:idx val="13"/>
            <c:spPr>
              <a:ln w="9525" cap="rnd">
                <a:solidFill>
                  <a:schemeClr val="accent2">
                    <a:lumMod val="80000"/>
                    <a:lumOff val="20000"/>
                  </a:schemeClr>
                </a:solidFill>
                <a:round/>
              </a:ln>
              <a:effectLst/>
            </c:spPr>
          </c:bandFmt>
          <c:bandFmt>
            <c:idx val="14"/>
            <c:spPr>
              <a:ln w="9525" cap="rnd">
                <a:solidFill>
                  <a:schemeClr val="accent3">
                    <a:lumMod val="80000"/>
                    <a:lumOff val="20000"/>
                  </a:schemeClr>
                </a:solidFill>
                <a:round/>
              </a:ln>
              <a:effectLst/>
            </c:spPr>
          </c:bandFmt>
        </c:bandFmts>
        <c:axId val="58924399"/>
        <c:axId val="58925359"/>
        <c:axId val="865652207"/>
      </c:surfaceChart>
      <c:catAx>
        <c:axId val="58924399"/>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25359"/>
        <c:crosses val="autoZero"/>
        <c:auto val="1"/>
        <c:lblAlgn val="ctr"/>
        <c:lblOffset val="100"/>
        <c:noMultiLvlLbl val="0"/>
      </c:catAx>
      <c:valAx>
        <c:axId val="58925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24399"/>
        <c:crosses val="autoZero"/>
        <c:crossBetween val="midCat"/>
        <c:majorUnit val="5.000000000000001E-2"/>
      </c:valAx>
      <c:serAx>
        <c:axId val="865652207"/>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25359"/>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"Flat"</a:t>
            </a:r>
            <a:r>
              <a:rPr lang="en-US" b="1" baseline="0"/>
              <a:t> Mesh per Bed Mesh Calibration</a:t>
            </a:r>
            <a:endParaRPr lang="en-US" b="1"/>
          </a:p>
        </c:rich>
      </c:tx>
      <c:layout>
        <c:manualLayout>
          <c:xMode val="edge"/>
          <c:yMode val="edge"/>
          <c:x val="0.25072468027630135"/>
          <c:y val="3.8034852992237585E-2"/>
        </c:manualLayout>
      </c:layout>
      <c:overlay val="0"/>
      <c:spPr>
        <a:noFill/>
        <a:ln>
          <a:noFill/>
        </a:ln>
        <a:effectLst/>
      </c:spPr>
    </c:title>
    <c:autoTitleDeleted val="0"/>
    <c:view3D>
      <c:rotX val="90"/>
      <c:rotY val="0"/>
      <c:rAngAx val="0"/>
      <c:perspective val="0"/>
    </c:view3D>
    <c:floor>
      <c:thickness val="0"/>
      <c:spPr>
        <a:solidFill>
          <a:schemeClr val="tx1"/>
        </a:solid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1163070265071823E-2"/>
          <c:y val="0.12404679007537195"/>
          <c:w val="0.88287171164673117"/>
          <c:h val="0.62135342971231411"/>
        </c:manualLayout>
      </c:layout>
      <c:surfaceChart>
        <c:wireframe val="1"/>
        <c:ser>
          <c:idx val="0"/>
          <c:order val="0"/>
          <c:tx>
            <c:strRef>
              <c:f>z_tramming_Calc!$A$22</c:f>
              <c:strCache>
                <c:ptCount val="1"/>
                <c:pt idx="0">
                  <c:v>12.00</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z_tramming_Calc!$B$22:$K$22</c:f>
              <c:numCache>
                <c:formatCode>0.0000</c:formatCode>
                <c:ptCount val="10"/>
                <c:pt idx="0">
                  <c:v>2.0500040000000025E-2</c:v>
                </c:pt>
                <c:pt idx="1">
                  <c:v>2.3000040000000013E-2</c:v>
                </c:pt>
                <c:pt idx="2">
                  <c:v>-2.7416959999999983E-2</c:v>
                </c:pt>
                <c:pt idx="3">
                  <c:v>3.0000400000000163E-3</c:v>
                </c:pt>
                <c:pt idx="4">
                  <c:v>-3.4082959999999982E-2</c:v>
                </c:pt>
                <c:pt idx="5">
                  <c:v>-2.8666959999999981E-2</c:v>
                </c:pt>
                <c:pt idx="6">
                  <c:v>-5.7499599999999845E-3</c:v>
                </c:pt>
                <c:pt idx="7">
                  <c:v>3.5917040000000025E-2</c:v>
                </c:pt>
                <c:pt idx="8">
                  <c:v>2.5830400000000156E-3</c:v>
                </c:pt>
                <c:pt idx="9">
                  <c:v>3.5917040000000025E-2</c:v>
                </c:pt>
              </c:numCache>
            </c:numRef>
          </c:val>
          <c:extLst>
            <c:ext xmlns:c16="http://schemas.microsoft.com/office/drawing/2014/chart" uri="{C3380CC4-5D6E-409C-BE32-E72D297353CC}">
              <c16:uniqueId val="{00000000-D01C-4857-B37D-972992DCC298}"/>
            </c:ext>
          </c:extLst>
        </c:ser>
        <c:ser>
          <c:idx val="1"/>
          <c:order val="1"/>
          <c:tx>
            <c:strRef>
              <c:f>z_tramming_Calc!$A$23</c:f>
              <c:strCache>
                <c:ptCount val="1"/>
                <c:pt idx="0">
                  <c:v>33.44</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z_tramming_Calc!$B$23:$K$23</c:f>
              <c:numCache>
                <c:formatCode>0.0000</c:formatCode>
                <c:ptCount val="10"/>
                <c:pt idx="0">
                  <c:v>-1.0332959999999981E-2</c:v>
                </c:pt>
                <c:pt idx="1">
                  <c:v>-8.2499599999999798E-3</c:v>
                </c:pt>
                <c:pt idx="2">
                  <c:v>-6.6999959999999983E-2</c:v>
                </c:pt>
                <c:pt idx="3">
                  <c:v>-5.2832959999999984E-2</c:v>
                </c:pt>
                <c:pt idx="4">
                  <c:v>-6.6166959999999983E-2</c:v>
                </c:pt>
                <c:pt idx="5">
                  <c:v>-3.5332959999999983E-2</c:v>
                </c:pt>
                <c:pt idx="6">
                  <c:v>-1.616695999999998E-2</c:v>
                </c:pt>
                <c:pt idx="7">
                  <c:v>3.0000400000000163E-3</c:v>
                </c:pt>
                <c:pt idx="8">
                  <c:v>-1.7416959999999981E-2</c:v>
                </c:pt>
                <c:pt idx="9">
                  <c:v>-1.3666959999999985E-2</c:v>
                </c:pt>
              </c:numCache>
            </c:numRef>
          </c:val>
          <c:extLst>
            <c:ext xmlns:c16="http://schemas.microsoft.com/office/drawing/2014/chart" uri="{C3380CC4-5D6E-409C-BE32-E72D297353CC}">
              <c16:uniqueId val="{00000001-D01C-4857-B37D-972992DCC298}"/>
            </c:ext>
          </c:extLst>
        </c:ser>
        <c:ser>
          <c:idx val="2"/>
          <c:order val="2"/>
          <c:tx>
            <c:strRef>
              <c:f>z_tramming_Calc!$A$24</c:f>
              <c:strCache>
                <c:ptCount val="1"/>
                <c:pt idx="0">
                  <c:v>54.89</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z_tramming_Calc!$B$24:$K$24</c:f>
              <c:numCache>
                <c:formatCode>0.0000</c:formatCode>
                <c:ptCount val="10"/>
                <c:pt idx="0">
                  <c:v>1.8417040000000023E-2</c:v>
                </c:pt>
                <c:pt idx="1">
                  <c:v>1.508304000000002E-2</c:v>
                </c:pt>
                <c:pt idx="2">
                  <c:v>-4.741695999999998E-2</c:v>
                </c:pt>
                <c:pt idx="3">
                  <c:v>-4.3666959999999984E-2</c:v>
                </c:pt>
                <c:pt idx="4">
                  <c:v>-6.1999959999999979E-2</c:v>
                </c:pt>
                <c:pt idx="5">
                  <c:v>-2.9499959999999981E-2</c:v>
                </c:pt>
                <c:pt idx="6">
                  <c:v>-8.6669599999999805E-3</c:v>
                </c:pt>
                <c:pt idx="7">
                  <c:v>1.7500400000000152E-3</c:v>
                </c:pt>
                <c:pt idx="8">
                  <c:v>3.0000400000000163E-3</c:v>
                </c:pt>
                <c:pt idx="9">
                  <c:v>3.417040000000017E-3</c:v>
                </c:pt>
              </c:numCache>
            </c:numRef>
          </c:val>
          <c:extLst>
            <c:ext xmlns:c16="http://schemas.microsoft.com/office/drawing/2014/chart" uri="{C3380CC4-5D6E-409C-BE32-E72D297353CC}">
              <c16:uniqueId val="{00000002-D01C-4857-B37D-972992DCC298}"/>
            </c:ext>
          </c:extLst>
        </c:ser>
        <c:ser>
          <c:idx val="3"/>
          <c:order val="3"/>
          <c:tx>
            <c:strRef>
              <c:f>z_tramming_Calc!$A$25</c:f>
              <c:strCache>
                <c:ptCount val="1"/>
                <c:pt idx="0">
                  <c:v>76.33</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z_tramming_Calc!$B$25:$K$25</c:f>
              <c:numCache>
                <c:formatCode>0.0000</c:formatCode>
                <c:ptCount val="10"/>
                <c:pt idx="0">
                  <c:v>3.0917040000000021E-2</c:v>
                </c:pt>
                <c:pt idx="1">
                  <c:v>1.9250040000000024E-2</c:v>
                </c:pt>
                <c:pt idx="2">
                  <c:v>-2.4916959999999981E-2</c:v>
                </c:pt>
                <c:pt idx="3">
                  <c:v>-1.9499959999999983E-2</c:v>
                </c:pt>
                <c:pt idx="4">
                  <c:v>-4.9499959999999982E-2</c:v>
                </c:pt>
                <c:pt idx="5">
                  <c:v>-1.6999959999999981E-2</c:v>
                </c:pt>
                <c:pt idx="6">
                  <c:v>9.1704000000001479E-4</c:v>
                </c:pt>
                <c:pt idx="7">
                  <c:v>2.2167040000000013E-2</c:v>
                </c:pt>
                <c:pt idx="8">
                  <c:v>5.0830400000000178E-3</c:v>
                </c:pt>
                <c:pt idx="9">
                  <c:v>3.0083040000000019E-2</c:v>
                </c:pt>
              </c:numCache>
            </c:numRef>
          </c:val>
          <c:extLst>
            <c:ext xmlns:c16="http://schemas.microsoft.com/office/drawing/2014/chart" uri="{C3380CC4-5D6E-409C-BE32-E72D297353CC}">
              <c16:uniqueId val="{00000003-D01C-4857-B37D-972992DCC298}"/>
            </c:ext>
          </c:extLst>
        </c:ser>
        <c:ser>
          <c:idx val="4"/>
          <c:order val="4"/>
          <c:tx>
            <c:strRef>
              <c:f>z_tramming_Calc!$A$26</c:f>
              <c:strCache>
                <c:ptCount val="1"/>
                <c:pt idx="0">
                  <c:v>97.78</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z_tramming_Calc!$B$26:$K$26</c:f>
              <c:numCache>
                <c:formatCode>0.0000</c:formatCode>
                <c:ptCount val="10"/>
                <c:pt idx="0">
                  <c:v>3.8000040000000013E-2</c:v>
                </c:pt>
                <c:pt idx="1">
                  <c:v>3.050004000000002E-2</c:v>
                </c:pt>
                <c:pt idx="2">
                  <c:v>-8.6669599999999805E-3</c:v>
                </c:pt>
                <c:pt idx="3">
                  <c:v>-1.1166959999999983E-2</c:v>
                </c:pt>
                <c:pt idx="4">
                  <c:v>-4.6166959999999979E-2</c:v>
                </c:pt>
                <c:pt idx="5">
                  <c:v>-1.6999959999999981E-2</c:v>
                </c:pt>
                <c:pt idx="6">
                  <c:v>-3.3295999999997938E-4</c:v>
                </c:pt>
                <c:pt idx="7">
                  <c:v>1.8417040000000023E-2</c:v>
                </c:pt>
                <c:pt idx="8">
                  <c:v>-1.9999599999999812E-3</c:v>
                </c:pt>
                <c:pt idx="9">
                  <c:v>2.0917040000000012E-2</c:v>
                </c:pt>
              </c:numCache>
            </c:numRef>
          </c:val>
          <c:extLst>
            <c:ext xmlns:c16="http://schemas.microsoft.com/office/drawing/2014/chart" uri="{C3380CC4-5D6E-409C-BE32-E72D297353CC}">
              <c16:uniqueId val="{00000004-D01C-4857-B37D-972992DCC298}"/>
            </c:ext>
          </c:extLst>
        </c:ser>
        <c:ser>
          <c:idx val="5"/>
          <c:order val="5"/>
          <c:tx>
            <c:strRef>
              <c:f>z_tramming_Calc!$A$27</c:f>
              <c:strCache>
                <c:ptCount val="1"/>
                <c:pt idx="0">
                  <c:v>119.22</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z_tramming_Calc!$B$27:$K$27</c:f>
              <c:numCache>
                <c:formatCode>0.0000</c:formatCode>
                <c:ptCount val="10"/>
                <c:pt idx="0">
                  <c:v>4.3000040000000017E-2</c:v>
                </c:pt>
                <c:pt idx="1">
                  <c:v>3.3000040000000022E-2</c:v>
                </c:pt>
                <c:pt idx="2">
                  <c:v>-9.4999599999999809E-3</c:v>
                </c:pt>
                <c:pt idx="3">
                  <c:v>-1.2416959999999984E-2</c:v>
                </c:pt>
                <c:pt idx="4">
                  <c:v>-5.3249959999999985E-2</c:v>
                </c:pt>
                <c:pt idx="5">
                  <c:v>-2.5332959999999981E-2</c:v>
                </c:pt>
                <c:pt idx="6">
                  <c:v>-3.666959999999983E-3</c:v>
                </c:pt>
                <c:pt idx="7">
                  <c:v>2.5500040000000015E-2</c:v>
                </c:pt>
                <c:pt idx="8">
                  <c:v>3.8330400000000167E-3</c:v>
                </c:pt>
                <c:pt idx="9">
                  <c:v>2.8000040000000018E-2</c:v>
                </c:pt>
              </c:numCache>
            </c:numRef>
          </c:val>
          <c:extLst>
            <c:ext xmlns:c16="http://schemas.microsoft.com/office/drawing/2014/chart" uri="{C3380CC4-5D6E-409C-BE32-E72D297353CC}">
              <c16:uniqueId val="{00000005-D01C-4857-B37D-972992DCC298}"/>
            </c:ext>
          </c:extLst>
        </c:ser>
        <c:ser>
          <c:idx val="6"/>
          <c:order val="6"/>
          <c:tx>
            <c:strRef>
              <c:f>z_tramming_Calc!$A$28</c:f>
              <c:strCache>
                <c:ptCount val="1"/>
                <c:pt idx="0">
                  <c:v>140.67</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z_tramming_Calc!$B$28:$K$28</c:f>
              <c:numCache>
                <c:formatCode>0.0000</c:formatCode>
                <c:ptCount val="10"/>
                <c:pt idx="0">
                  <c:v>4.3000040000000017E-2</c:v>
                </c:pt>
                <c:pt idx="1">
                  <c:v>3.6750040000000012E-2</c:v>
                </c:pt>
                <c:pt idx="2">
                  <c:v>-9.4999599999999809E-3</c:v>
                </c:pt>
                <c:pt idx="3">
                  <c:v>-8.2499599999999798E-3</c:v>
                </c:pt>
                <c:pt idx="4">
                  <c:v>-3.8666959999999979E-2</c:v>
                </c:pt>
                <c:pt idx="5">
                  <c:v>-1.8249959999999982E-2</c:v>
                </c:pt>
                <c:pt idx="6">
                  <c:v>1.3330400000000214E-3</c:v>
                </c:pt>
                <c:pt idx="7">
                  <c:v>1.1333040000000016E-2</c:v>
                </c:pt>
                <c:pt idx="8">
                  <c:v>-4.0829599999999827E-3</c:v>
                </c:pt>
                <c:pt idx="9">
                  <c:v>1.8833040000000023E-2</c:v>
                </c:pt>
              </c:numCache>
            </c:numRef>
          </c:val>
          <c:extLst>
            <c:ext xmlns:c16="http://schemas.microsoft.com/office/drawing/2014/chart" uri="{C3380CC4-5D6E-409C-BE32-E72D297353CC}">
              <c16:uniqueId val="{00000006-D01C-4857-B37D-972992DCC298}"/>
            </c:ext>
          </c:extLst>
        </c:ser>
        <c:ser>
          <c:idx val="7"/>
          <c:order val="7"/>
          <c:tx>
            <c:strRef>
              <c:f>z_tramming_Calc!$A$29</c:f>
              <c:strCache>
                <c:ptCount val="1"/>
                <c:pt idx="0">
                  <c:v>162.11</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z_tramming_Calc!$B$29:$K$29</c:f>
              <c:numCache>
                <c:formatCode>0.0000</c:formatCode>
                <c:ptCount val="10"/>
                <c:pt idx="0">
                  <c:v>3.5500040000000024E-2</c:v>
                </c:pt>
                <c:pt idx="1">
                  <c:v>2.3833040000000014E-2</c:v>
                </c:pt>
                <c:pt idx="2">
                  <c:v>-1.574995999999998E-2</c:v>
                </c:pt>
                <c:pt idx="3">
                  <c:v>-6.1669599999999783E-3</c:v>
                </c:pt>
                <c:pt idx="4">
                  <c:v>-2.9916959999999982E-2</c:v>
                </c:pt>
                <c:pt idx="5">
                  <c:v>-6.9999599999999787E-3</c:v>
                </c:pt>
                <c:pt idx="6">
                  <c:v>1.3330400000000214E-3</c:v>
                </c:pt>
                <c:pt idx="7">
                  <c:v>2.3000040000000013E-2</c:v>
                </c:pt>
                <c:pt idx="8">
                  <c:v>9.6670400000000156E-3</c:v>
                </c:pt>
                <c:pt idx="9">
                  <c:v>3.0917040000000021E-2</c:v>
                </c:pt>
              </c:numCache>
            </c:numRef>
          </c:val>
          <c:extLst>
            <c:ext xmlns:c16="http://schemas.microsoft.com/office/drawing/2014/chart" uri="{C3380CC4-5D6E-409C-BE32-E72D297353CC}">
              <c16:uniqueId val="{00000007-D01C-4857-B37D-972992DCC298}"/>
            </c:ext>
          </c:extLst>
        </c:ser>
        <c:ser>
          <c:idx val="8"/>
          <c:order val="8"/>
          <c:tx>
            <c:strRef>
              <c:f>z_tramming_Calc!$A$30</c:f>
              <c:strCache>
                <c:ptCount val="1"/>
                <c:pt idx="0">
                  <c:v>183.56</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z_tramming_Calc!$B$30:$K$30</c:f>
              <c:numCache>
                <c:formatCode>0.0000</c:formatCode>
                <c:ptCount val="10"/>
                <c:pt idx="0">
                  <c:v>1.5917040000000021E-2</c:v>
                </c:pt>
                <c:pt idx="1">
                  <c:v>1.2583040000000018E-2</c:v>
                </c:pt>
                <c:pt idx="2">
                  <c:v>-2.3666959999999983E-2</c:v>
                </c:pt>
                <c:pt idx="3">
                  <c:v>-6.1669599999999783E-3</c:v>
                </c:pt>
                <c:pt idx="4">
                  <c:v>-2.4916959999999981E-2</c:v>
                </c:pt>
                <c:pt idx="5">
                  <c:v>-7.4995999999998009E-4</c:v>
                </c:pt>
                <c:pt idx="6">
                  <c:v>1.3000040000000018E-2</c:v>
                </c:pt>
                <c:pt idx="7">
                  <c:v>2.0500040000000025E-2</c:v>
                </c:pt>
                <c:pt idx="8">
                  <c:v>3.8330400000000167E-3</c:v>
                </c:pt>
                <c:pt idx="9">
                  <c:v>3.7167040000000012E-2</c:v>
                </c:pt>
              </c:numCache>
            </c:numRef>
          </c:val>
          <c:extLst>
            <c:ext xmlns:c16="http://schemas.microsoft.com/office/drawing/2014/chart" uri="{C3380CC4-5D6E-409C-BE32-E72D297353CC}">
              <c16:uniqueId val="{00000008-D01C-4857-B37D-972992DCC298}"/>
            </c:ext>
          </c:extLst>
        </c:ser>
        <c:ser>
          <c:idx val="9"/>
          <c:order val="9"/>
          <c:tx>
            <c:strRef>
              <c:f>z_tramming_Calc!$A$31</c:f>
              <c:strCache>
                <c:ptCount val="1"/>
                <c:pt idx="0">
                  <c:v>205.00</c:v>
                </c:pt>
              </c:strCache>
            </c:strRef>
          </c:tx>
          <c:spPr>
            <a:ln/>
            <a:effectLst/>
          </c:spPr>
          <c:cat>
            <c:numRef>
              <c:f>z_tramming_Calc!$B$21:$K$21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z_tramming_Calc!$B$31:$K$31</c:f>
              <c:numCache>
                <c:formatCode>0.0000</c:formatCode>
                <c:ptCount val="10"/>
                <c:pt idx="0">
                  <c:v>2.5917040000000016E-2</c:v>
                </c:pt>
                <c:pt idx="1">
                  <c:v>2.4667040000000015E-2</c:v>
                </c:pt>
                <c:pt idx="2">
                  <c:v>6.3330400000000189E-3</c:v>
                </c:pt>
                <c:pt idx="3">
                  <c:v>2.6750040000000017E-2</c:v>
                </c:pt>
                <c:pt idx="4">
                  <c:v>-1.7832959999999981E-2</c:v>
                </c:pt>
                <c:pt idx="5">
                  <c:v>1.6333040000000021E-2</c:v>
                </c:pt>
                <c:pt idx="6">
                  <c:v>2.5083040000000015E-2</c:v>
                </c:pt>
                <c:pt idx="7">
                  <c:v>3.4667040000000024E-2</c:v>
                </c:pt>
                <c:pt idx="8">
                  <c:v>1.7167040000000022E-2</c:v>
                </c:pt>
                <c:pt idx="9">
                  <c:v>5.5083040000000014E-2</c:v>
                </c:pt>
              </c:numCache>
            </c:numRef>
          </c:val>
          <c:extLst>
            <c:ext xmlns:c16="http://schemas.microsoft.com/office/drawing/2014/chart" uri="{C3380CC4-5D6E-409C-BE32-E72D297353CC}">
              <c16:uniqueId val="{00000009-D01C-4857-B37D-972992DCC298}"/>
            </c:ext>
          </c:extLst>
        </c:ser>
        <c:bandFmts>
          <c:bandFmt>
            <c:idx val="0"/>
            <c:spPr>
              <a:ln/>
              <a:effectLst/>
            </c:spPr>
          </c:bandFmt>
          <c:bandFmt>
            <c:idx val="1"/>
            <c:spPr>
              <a:ln/>
              <a:effectLst/>
            </c:spPr>
          </c:bandFmt>
          <c:bandFmt>
            <c:idx val="2"/>
            <c:spPr>
              <a:ln/>
              <a:effectLst/>
            </c:spPr>
          </c:bandFmt>
          <c:bandFmt>
            <c:idx val="3"/>
            <c:spPr>
              <a:ln/>
              <a:effectLst/>
            </c:spPr>
          </c:bandFmt>
          <c:bandFmt>
            <c:idx val="4"/>
            <c:spPr>
              <a:ln/>
              <a:effectLst/>
            </c:spPr>
          </c:bandFmt>
          <c:bandFmt>
            <c:idx val="5"/>
            <c:spPr>
              <a:ln/>
              <a:effectLst/>
            </c:spPr>
          </c:bandFmt>
          <c:bandFmt>
            <c:idx val="6"/>
            <c:spPr>
              <a:ln/>
              <a:effectLst/>
            </c:spPr>
          </c:bandFmt>
          <c:bandFmt>
            <c:idx val="7"/>
            <c:spPr>
              <a:ln/>
              <a:effectLst/>
            </c:spPr>
          </c:bandFmt>
          <c:bandFmt>
            <c:idx val="8"/>
            <c:spPr>
              <a:ln/>
              <a:effectLst/>
            </c:spPr>
          </c:bandFmt>
          <c:bandFmt>
            <c:idx val="9"/>
            <c:spPr>
              <a:ln/>
              <a:effectLst/>
            </c:spPr>
          </c:bandFmt>
          <c:bandFmt>
            <c:idx val="10"/>
            <c:spPr>
              <a:ln/>
              <a:effectLst/>
            </c:spPr>
          </c:bandFmt>
          <c:bandFmt>
            <c:idx val="11"/>
            <c:spPr>
              <a:ln/>
              <a:effectLst/>
            </c:spPr>
          </c:bandFmt>
          <c:bandFmt>
            <c:idx val="12"/>
            <c:spPr>
              <a:ln/>
              <a:effectLst/>
            </c:spPr>
          </c:bandFmt>
          <c:bandFmt>
            <c:idx val="13"/>
            <c:spPr>
              <a:ln/>
              <a:effectLst/>
            </c:spPr>
          </c:bandFmt>
          <c:bandFmt>
            <c:idx val="14"/>
            <c:spPr>
              <a:ln/>
              <a:effectLst/>
            </c:spPr>
          </c:bandFmt>
        </c:bandFmts>
        <c:axId val="2017134624"/>
        <c:axId val="2017135104"/>
        <c:axId val="1637814432"/>
      </c:surfaceChart>
      <c:catAx>
        <c:axId val="2017134624"/>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5104"/>
        <c:crosses val="autoZero"/>
        <c:auto val="1"/>
        <c:lblAlgn val="ctr"/>
        <c:lblOffset val="100"/>
        <c:noMultiLvlLbl val="0"/>
      </c:catAx>
      <c:valAx>
        <c:axId val="2017135104"/>
        <c:scaling>
          <c:orientation val="minMax"/>
          <c:max val="0.15000000000000002"/>
          <c:min val="-0.15000000000000002"/>
        </c:scaling>
        <c:delete val="0"/>
        <c:axPos val="l"/>
        <c:majorGridlines>
          <c:spPr>
            <a:ln w="9525" cap="flat" cmpd="sng" algn="ctr">
              <a:solidFill>
                <a:schemeClr val="tx1">
                  <a:lumMod val="15000"/>
                  <a:lumOff val="85000"/>
                </a:schemeClr>
              </a:solidFill>
              <a:prstDash val="solid"/>
              <a:round/>
            </a:ln>
            <a:effectLst/>
          </c:spPr>
        </c:majorGridlines>
        <c:numFmt formatCode="0.0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4624"/>
        <c:crosses val="autoZero"/>
        <c:crossBetween val="midCat"/>
        <c:majorUnit val="5.000000000000001E-2"/>
      </c:valAx>
      <c:serAx>
        <c:axId val="1637814432"/>
        <c:scaling>
          <c:orientation val="minMax"/>
        </c:scaling>
        <c:delete val="0"/>
        <c:axPos val="b"/>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5104"/>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Manual Compensator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Calculate_Compensator_Matrix!$A$38</c:f>
              <c:strCache>
                <c:ptCount val="1"/>
                <c:pt idx="0">
                  <c:v>12</c:v>
                </c:pt>
              </c:strCache>
            </c:strRef>
          </c:tx>
          <c:spPr>
            <a:ln w="19050" cap="rnd">
              <a:solidFill>
                <a:schemeClr val="accent1"/>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Calculate_Compensator_Matrix!$B$38:$K$38</c:f>
              <c:numCache>
                <c:formatCode>General</c:formatCode>
                <c:ptCount val="10"/>
                <c:pt idx="0">
                  <c:v>0.03</c:v>
                </c:pt>
                <c:pt idx="1">
                  <c:v>0.11</c:v>
                </c:pt>
                <c:pt idx="2">
                  <c:v>0.11</c:v>
                </c:pt>
                <c:pt idx="3">
                  <c:v>0.09</c:v>
                </c:pt>
                <c:pt idx="4">
                  <c:v>0.08</c:v>
                </c:pt>
                <c:pt idx="5">
                  <c:v>0.08</c:v>
                </c:pt>
                <c:pt idx="6">
                  <c:v>0.08</c:v>
                </c:pt>
                <c:pt idx="7">
                  <c:v>0.1</c:v>
                </c:pt>
                <c:pt idx="8">
                  <c:v>0.15</c:v>
                </c:pt>
                <c:pt idx="9">
                  <c:v>0.15</c:v>
                </c:pt>
              </c:numCache>
            </c:numRef>
          </c:yVal>
          <c:smooth val="0"/>
          <c:extLst>
            <c:ext xmlns:c16="http://schemas.microsoft.com/office/drawing/2014/chart" uri="{C3380CC4-5D6E-409C-BE32-E72D297353CC}">
              <c16:uniqueId val="{00000000-1E4A-4864-B6E0-43F362369EDA}"/>
            </c:ext>
          </c:extLst>
        </c:ser>
        <c:ser>
          <c:idx val="1"/>
          <c:order val="1"/>
          <c:tx>
            <c:strRef>
              <c:f>Calculate_Compensator_Matrix!$A$39</c:f>
              <c:strCache>
                <c:ptCount val="1"/>
                <c:pt idx="0">
                  <c:v>33.444</c:v>
                </c:pt>
              </c:strCache>
            </c:strRef>
          </c:tx>
          <c:spPr>
            <a:ln w="19050" cap="rnd">
              <a:solidFill>
                <a:schemeClr val="accent2"/>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Calculate_Compensator_Matrix!$B$39:$K$39</c:f>
              <c:numCache>
                <c:formatCode>General</c:formatCode>
                <c:ptCount val="10"/>
                <c:pt idx="0">
                  <c:v>0.04</c:v>
                </c:pt>
                <c:pt idx="1">
                  <c:v>0.11</c:v>
                </c:pt>
                <c:pt idx="2">
                  <c:v>0.11</c:v>
                </c:pt>
                <c:pt idx="3">
                  <c:v>0.11</c:v>
                </c:pt>
                <c:pt idx="4">
                  <c:v>0.12</c:v>
                </c:pt>
                <c:pt idx="5">
                  <c:v>0.12</c:v>
                </c:pt>
                <c:pt idx="6">
                  <c:v>0.11</c:v>
                </c:pt>
                <c:pt idx="7">
                  <c:v>0.11</c:v>
                </c:pt>
                <c:pt idx="8">
                  <c:v>0.14000000000000001</c:v>
                </c:pt>
                <c:pt idx="9">
                  <c:v>0.15</c:v>
                </c:pt>
              </c:numCache>
            </c:numRef>
          </c:yVal>
          <c:smooth val="0"/>
          <c:extLst>
            <c:ext xmlns:c16="http://schemas.microsoft.com/office/drawing/2014/chart" uri="{C3380CC4-5D6E-409C-BE32-E72D297353CC}">
              <c16:uniqueId val="{00000001-1E4A-4864-B6E0-43F362369EDA}"/>
            </c:ext>
          </c:extLst>
        </c:ser>
        <c:ser>
          <c:idx val="2"/>
          <c:order val="2"/>
          <c:tx>
            <c:strRef>
              <c:f>Calculate_Compensator_Matrix!$A$40</c:f>
              <c:strCache>
                <c:ptCount val="1"/>
                <c:pt idx="0">
                  <c:v>54.888</c:v>
                </c:pt>
              </c:strCache>
            </c:strRef>
          </c:tx>
          <c:spPr>
            <a:ln w="19050" cap="rnd">
              <a:solidFill>
                <a:schemeClr val="accent3"/>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Calculate_Compensator_Matrix!$B$40:$K$40</c:f>
              <c:numCache>
                <c:formatCode>General</c:formatCode>
                <c:ptCount val="10"/>
                <c:pt idx="0">
                  <c:v>0</c:v>
                </c:pt>
                <c:pt idx="1">
                  <c:v>0.08</c:v>
                </c:pt>
                <c:pt idx="2">
                  <c:v>0.11</c:v>
                </c:pt>
                <c:pt idx="3">
                  <c:v>0.11</c:v>
                </c:pt>
                <c:pt idx="4">
                  <c:v>0.12</c:v>
                </c:pt>
                <c:pt idx="5">
                  <c:v>0.11</c:v>
                </c:pt>
                <c:pt idx="6">
                  <c:v>0.11</c:v>
                </c:pt>
                <c:pt idx="7">
                  <c:v>0.11</c:v>
                </c:pt>
                <c:pt idx="8">
                  <c:v>0.15</c:v>
                </c:pt>
                <c:pt idx="9">
                  <c:v>0.15</c:v>
                </c:pt>
              </c:numCache>
            </c:numRef>
          </c:yVal>
          <c:smooth val="0"/>
          <c:extLst>
            <c:ext xmlns:c16="http://schemas.microsoft.com/office/drawing/2014/chart" uri="{C3380CC4-5D6E-409C-BE32-E72D297353CC}">
              <c16:uniqueId val="{00000002-1E4A-4864-B6E0-43F362369EDA}"/>
            </c:ext>
          </c:extLst>
        </c:ser>
        <c:ser>
          <c:idx val="3"/>
          <c:order val="3"/>
          <c:tx>
            <c:strRef>
              <c:f>Calculate_Compensator_Matrix!$A$41</c:f>
              <c:strCache>
                <c:ptCount val="1"/>
                <c:pt idx="0">
                  <c:v>76.332</c:v>
                </c:pt>
              </c:strCache>
            </c:strRef>
          </c:tx>
          <c:spPr>
            <a:ln w="19050" cap="rnd">
              <a:solidFill>
                <a:schemeClr val="accent4"/>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Calculate_Compensator_Matrix!$B$41:$K$41</c:f>
              <c:numCache>
                <c:formatCode>General</c:formatCode>
                <c:ptCount val="10"/>
                <c:pt idx="0">
                  <c:v>0</c:v>
                </c:pt>
                <c:pt idx="1">
                  <c:v>0.08</c:v>
                </c:pt>
                <c:pt idx="2">
                  <c:v>0.08</c:v>
                </c:pt>
                <c:pt idx="3">
                  <c:v>0.08</c:v>
                </c:pt>
                <c:pt idx="4">
                  <c:v>0.1</c:v>
                </c:pt>
                <c:pt idx="5">
                  <c:v>0.09</c:v>
                </c:pt>
                <c:pt idx="6">
                  <c:v>0.08</c:v>
                </c:pt>
                <c:pt idx="7">
                  <c:v>0.09</c:v>
                </c:pt>
                <c:pt idx="8">
                  <c:v>0.14000000000000001</c:v>
                </c:pt>
                <c:pt idx="9">
                  <c:v>0.13</c:v>
                </c:pt>
              </c:numCache>
            </c:numRef>
          </c:yVal>
          <c:smooth val="0"/>
          <c:extLst>
            <c:ext xmlns:c16="http://schemas.microsoft.com/office/drawing/2014/chart" uri="{C3380CC4-5D6E-409C-BE32-E72D297353CC}">
              <c16:uniqueId val="{00000003-1E4A-4864-B6E0-43F362369EDA}"/>
            </c:ext>
          </c:extLst>
        </c:ser>
        <c:ser>
          <c:idx val="4"/>
          <c:order val="4"/>
          <c:tx>
            <c:strRef>
              <c:f>Calculate_Compensator_Matrix!$A$42</c:f>
              <c:strCache>
                <c:ptCount val="1"/>
                <c:pt idx="0">
                  <c:v>97.776</c:v>
                </c:pt>
              </c:strCache>
            </c:strRef>
          </c:tx>
          <c:spPr>
            <a:ln w="19050" cap="rnd">
              <a:solidFill>
                <a:schemeClr val="accent5"/>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Calculate_Compensator_Matrix!$B$42:$K$42</c:f>
              <c:numCache>
                <c:formatCode>General</c:formatCode>
                <c:ptCount val="10"/>
                <c:pt idx="0">
                  <c:v>0.01</c:v>
                </c:pt>
                <c:pt idx="1">
                  <c:v>0.08</c:v>
                </c:pt>
                <c:pt idx="2">
                  <c:v>0.08</c:v>
                </c:pt>
                <c:pt idx="3">
                  <c:v>0.08</c:v>
                </c:pt>
                <c:pt idx="4">
                  <c:v>0.1</c:v>
                </c:pt>
                <c:pt idx="5">
                  <c:v>0.09</c:v>
                </c:pt>
                <c:pt idx="6">
                  <c:v>0.08</c:v>
                </c:pt>
                <c:pt idx="7">
                  <c:v>0.09</c:v>
                </c:pt>
                <c:pt idx="8">
                  <c:v>0.13</c:v>
                </c:pt>
                <c:pt idx="9">
                  <c:v>0.13</c:v>
                </c:pt>
              </c:numCache>
            </c:numRef>
          </c:yVal>
          <c:smooth val="0"/>
          <c:extLst>
            <c:ext xmlns:c16="http://schemas.microsoft.com/office/drawing/2014/chart" uri="{C3380CC4-5D6E-409C-BE32-E72D297353CC}">
              <c16:uniqueId val="{00000004-1E4A-4864-B6E0-43F362369EDA}"/>
            </c:ext>
          </c:extLst>
        </c:ser>
        <c:ser>
          <c:idx val="5"/>
          <c:order val="5"/>
          <c:tx>
            <c:strRef>
              <c:f>Calculate_Compensator_Matrix!$A$43</c:f>
              <c:strCache>
                <c:ptCount val="1"/>
                <c:pt idx="0">
                  <c:v>119.22</c:v>
                </c:pt>
              </c:strCache>
            </c:strRef>
          </c:tx>
          <c:spPr>
            <a:ln w="19050" cap="rnd">
              <a:solidFill>
                <a:schemeClr val="accent6"/>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Calculate_Compensator_Matrix!$B$43:$K$43</c:f>
              <c:numCache>
                <c:formatCode>General</c:formatCode>
                <c:ptCount val="10"/>
                <c:pt idx="0">
                  <c:v>0.01</c:v>
                </c:pt>
                <c:pt idx="1">
                  <c:v>0.05</c:v>
                </c:pt>
                <c:pt idx="2">
                  <c:v>0.08</c:v>
                </c:pt>
                <c:pt idx="3">
                  <c:v>0.08</c:v>
                </c:pt>
                <c:pt idx="4">
                  <c:v>0.1</c:v>
                </c:pt>
                <c:pt idx="5">
                  <c:v>0.09</c:v>
                </c:pt>
                <c:pt idx="6">
                  <c:v>0.08</c:v>
                </c:pt>
                <c:pt idx="7">
                  <c:v>0.1</c:v>
                </c:pt>
                <c:pt idx="8">
                  <c:v>0.14000000000000001</c:v>
                </c:pt>
                <c:pt idx="9">
                  <c:v>0.15</c:v>
                </c:pt>
              </c:numCache>
            </c:numRef>
          </c:yVal>
          <c:smooth val="0"/>
          <c:extLst>
            <c:ext xmlns:c16="http://schemas.microsoft.com/office/drawing/2014/chart" uri="{C3380CC4-5D6E-409C-BE32-E72D297353CC}">
              <c16:uniqueId val="{00000005-1E4A-4864-B6E0-43F362369EDA}"/>
            </c:ext>
          </c:extLst>
        </c:ser>
        <c:ser>
          <c:idx val="6"/>
          <c:order val="6"/>
          <c:tx>
            <c:strRef>
              <c:f>Calculate_Compensator_Matrix!$A$44</c:f>
              <c:strCache>
                <c:ptCount val="1"/>
                <c:pt idx="0">
                  <c:v>140.664</c:v>
                </c:pt>
              </c:strCache>
            </c:strRef>
          </c:tx>
          <c:spPr>
            <a:ln w="19050" cap="rnd">
              <a:solidFill>
                <a:schemeClr val="accent1">
                  <a:lumMod val="60000"/>
                </a:schemeClr>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Calculate_Compensator_Matrix!$B$44:$K$44</c:f>
              <c:numCache>
                <c:formatCode>General</c:formatCode>
                <c:ptCount val="10"/>
                <c:pt idx="0">
                  <c:v>0.02</c:v>
                </c:pt>
                <c:pt idx="1">
                  <c:v>0.05</c:v>
                </c:pt>
                <c:pt idx="2">
                  <c:v>0.08</c:v>
                </c:pt>
                <c:pt idx="3">
                  <c:v>0.08</c:v>
                </c:pt>
                <c:pt idx="4">
                  <c:v>0.1</c:v>
                </c:pt>
                <c:pt idx="5">
                  <c:v>0.09</c:v>
                </c:pt>
                <c:pt idx="6">
                  <c:v>0.08</c:v>
                </c:pt>
                <c:pt idx="7">
                  <c:v>0.16</c:v>
                </c:pt>
                <c:pt idx="8">
                  <c:v>0.16</c:v>
                </c:pt>
                <c:pt idx="9">
                  <c:v>0.15</c:v>
                </c:pt>
              </c:numCache>
            </c:numRef>
          </c:yVal>
          <c:smooth val="0"/>
          <c:extLst>
            <c:ext xmlns:c16="http://schemas.microsoft.com/office/drawing/2014/chart" uri="{C3380CC4-5D6E-409C-BE32-E72D297353CC}">
              <c16:uniqueId val="{00000006-1E4A-4864-B6E0-43F362369EDA}"/>
            </c:ext>
          </c:extLst>
        </c:ser>
        <c:ser>
          <c:idx val="7"/>
          <c:order val="7"/>
          <c:tx>
            <c:strRef>
              <c:f>Calculate_Compensator_Matrix!$A$45</c:f>
              <c:strCache>
                <c:ptCount val="1"/>
                <c:pt idx="0">
                  <c:v>162.108</c:v>
                </c:pt>
              </c:strCache>
            </c:strRef>
          </c:tx>
          <c:spPr>
            <a:ln w="19050" cap="rnd">
              <a:solidFill>
                <a:schemeClr val="accent2">
                  <a:lumMod val="60000"/>
                </a:schemeClr>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Calculate_Compensator_Matrix!$B$45:$K$45</c:f>
              <c:numCache>
                <c:formatCode>General</c:formatCode>
                <c:ptCount val="10"/>
                <c:pt idx="0">
                  <c:v>0.05</c:v>
                </c:pt>
                <c:pt idx="1">
                  <c:v>0.06</c:v>
                </c:pt>
                <c:pt idx="2">
                  <c:v>0.08</c:v>
                </c:pt>
                <c:pt idx="3">
                  <c:v>0.08</c:v>
                </c:pt>
                <c:pt idx="4">
                  <c:v>0.1</c:v>
                </c:pt>
                <c:pt idx="5">
                  <c:v>0.09</c:v>
                </c:pt>
                <c:pt idx="6">
                  <c:v>0.08</c:v>
                </c:pt>
                <c:pt idx="7">
                  <c:v>0.16</c:v>
                </c:pt>
                <c:pt idx="8">
                  <c:v>0.18</c:v>
                </c:pt>
                <c:pt idx="9">
                  <c:v>0.18</c:v>
                </c:pt>
              </c:numCache>
            </c:numRef>
          </c:yVal>
          <c:smooth val="0"/>
          <c:extLst>
            <c:ext xmlns:c16="http://schemas.microsoft.com/office/drawing/2014/chart" uri="{C3380CC4-5D6E-409C-BE32-E72D297353CC}">
              <c16:uniqueId val="{00000007-1E4A-4864-B6E0-43F362369EDA}"/>
            </c:ext>
          </c:extLst>
        </c:ser>
        <c:ser>
          <c:idx val="8"/>
          <c:order val="8"/>
          <c:tx>
            <c:strRef>
              <c:f>Calculate_Compensator_Matrix!$A$46</c:f>
              <c:strCache>
                <c:ptCount val="1"/>
                <c:pt idx="0">
                  <c:v>183.552</c:v>
                </c:pt>
              </c:strCache>
            </c:strRef>
          </c:tx>
          <c:spPr>
            <a:ln w="19050" cap="rnd">
              <a:solidFill>
                <a:schemeClr val="accent3">
                  <a:lumMod val="60000"/>
                </a:schemeClr>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Calculate_Compensator_Matrix!$B$46:$K$46</c:f>
              <c:numCache>
                <c:formatCode>General</c:formatCode>
                <c:ptCount val="10"/>
                <c:pt idx="0">
                  <c:v>0.08</c:v>
                </c:pt>
                <c:pt idx="1">
                  <c:v>0.09</c:v>
                </c:pt>
                <c:pt idx="2">
                  <c:v>0.09</c:v>
                </c:pt>
                <c:pt idx="3">
                  <c:v>0.09</c:v>
                </c:pt>
                <c:pt idx="4">
                  <c:v>0.1</c:v>
                </c:pt>
                <c:pt idx="5">
                  <c:v>0.09</c:v>
                </c:pt>
                <c:pt idx="6">
                  <c:v>0.09</c:v>
                </c:pt>
                <c:pt idx="7">
                  <c:v>0.16</c:v>
                </c:pt>
                <c:pt idx="8">
                  <c:v>0.19</c:v>
                </c:pt>
                <c:pt idx="9">
                  <c:v>0.19</c:v>
                </c:pt>
              </c:numCache>
            </c:numRef>
          </c:yVal>
          <c:smooth val="0"/>
          <c:extLst>
            <c:ext xmlns:c16="http://schemas.microsoft.com/office/drawing/2014/chart" uri="{C3380CC4-5D6E-409C-BE32-E72D297353CC}">
              <c16:uniqueId val="{00000008-1E4A-4864-B6E0-43F362369EDA}"/>
            </c:ext>
          </c:extLst>
        </c:ser>
        <c:ser>
          <c:idx val="9"/>
          <c:order val="9"/>
          <c:tx>
            <c:strRef>
              <c:f>Calculate_Compensator_Matrix!$A$47</c:f>
              <c:strCache>
                <c:ptCount val="1"/>
                <c:pt idx="0">
                  <c:v>204.996</c:v>
                </c:pt>
              </c:strCache>
            </c:strRef>
          </c:tx>
          <c:spPr>
            <a:ln w="19050" cap="rnd">
              <a:solidFill>
                <a:schemeClr val="accent4">
                  <a:lumMod val="60000"/>
                </a:schemeClr>
              </a:solidFill>
              <a:round/>
            </a:ln>
            <a:effectLst/>
          </c:spPr>
          <c:marker>
            <c:symbol val="none"/>
          </c:marker>
          <c:xVal>
            <c:numRef>
              <c:f>Calculate_Compensator_Matrix!$B$37:$K$37</c:f>
              <c:numCache>
                <c:formatCode>General</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Calculate_Compensator_Matrix!$B$47:$K$47</c:f>
              <c:numCache>
                <c:formatCode>General</c:formatCode>
                <c:ptCount val="10"/>
                <c:pt idx="0">
                  <c:v>0.08</c:v>
                </c:pt>
                <c:pt idx="1">
                  <c:v>0.1</c:v>
                </c:pt>
                <c:pt idx="2">
                  <c:v>0.09</c:v>
                </c:pt>
                <c:pt idx="3">
                  <c:v>0.1</c:v>
                </c:pt>
                <c:pt idx="4">
                  <c:v>0.11</c:v>
                </c:pt>
                <c:pt idx="5">
                  <c:v>0.12</c:v>
                </c:pt>
                <c:pt idx="6">
                  <c:v>0.17</c:v>
                </c:pt>
                <c:pt idx="7">
                  <c:v>0.18</c:v>
                </c:pt>
                <c:pt idx="8">
                  <c:v>0.19</c:v>
                </c:pt>
                <c:pt idx="9">
                  <c:v>0.19</c:v>
                </c:pt>
              </c:numCache>
            </c:numRef>
          </c:yVal>
          <c:smooth val="0"/>
          <c:extLst>
            <c:ext xmlns:c16="http://schemas.microsoft.com/office/drawing/2014/chart" uri="{C3380CC4-5D6E-409C-BE32-E72D297353CC}">
              <c16:uniqueId val="{00000009-1E4A-4864-B6E0-43F362369EDA}"/>
            </c:ext>
          </c:extLst>
        </c:ser>
        <c:dLbls>
          <c:showLegendKey val="0"/>
          <c:showVal val="0"/>
          <c:showCatName val="0"/>
          <c:showSerName val="0"/>
          <c:showPercent val="0"/>
          <c:showBubbleSize val="0"/>
        </c:dLbls>
        <c:axId val="1935853983"/>
        <c:axId val="1935839103"/>
      </c:scatterChart>
      <c:valAx>
        <c:axId val="193585398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Probe</a:t>
                </a:r>
                <a:r>
                  <a:rPr lang="en-US" baseline="0"/>
                  <a:t> Coordinate, mm</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839103"/>
        <c:crosses val="autoZero"/>
        <c:crossBetween val="midCat"/>
      </c:valAx>
      <c:valAx>
        <c:axId val="19358391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a:t>
                </a:r>
                <a:r>
                  <a:rPr lang="en-US" baseline="0"/>
                  <a:t> Height, mm</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8539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Calculate_Compensator_Matrix!$A$23</c:f>
              <c:strCache>
                <c:ptCount val="1"/>
                <c:pt idx="0">
                  <c:v>12.00</c:v>
                </c:pt>
              </c:strCache>
            </c:strRef>
          </c:tx>
          <c:spPr>
            <a:ln w="19050" cap="rnd">
              <a:solidFill>
                <a:schemeClr val="accent1"/>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Calculate_Compensator_Matrix!$B$23:$K$23</c:f>
              <c:numCache>
                <c:formatCode>0.0000</c:formatCode>
                <c:ptCount val="10"/>
                <c:pt idx="0">
                  <c:v>2.0500040000000025E-2</c:v>
                </c:pt>
                <c:pt idx="1">
                  <c:v>2.3000040000000013E-2</c:v>
                </c:pt>
                <c:pt idx="2">
                  <c:v>-2.7416959999999983E-2</c:v>
                </c:pt>
                <c:pt idx="3">
                  <c:v>3.0000400000000163E-3</c:v>
                </c:pt>
                <c:pt idx="4">
                  <c:v>-3.4082959999999982E-2</c:v>
                </c:pt>
                <c:pt idx="5">
                  <c:v>-2.8666959999999981E-2</c:v>
                </c:pt>
                <c:pt idx="6">
                  <c:v>-5.7499599999999845E-3</c:v>
                </c:pt>
                <c:pt idx="7">
                  <c:v>3.5917040000000025E-2</c:v>
                </c:pt>
                <c:pt idx="8">
                  <c:v>2.5830400000000156E-3</c:v>
                </c:pt>
                <c:pt idx="9">
                  <c:v>3.5917040000000025E-2</c:v>
                </c:pt>
              </c:numCache>
            </c:numRef>
          </c:yVal>
          <c:smooth val="0"/>
          <c:extLst>
            <c:ext xmlns:c16="http://schemas.microsoft.com/office/drawing/2014/chart" uri="{C3380CC4-5D6E-409C-BE32-E72D297353CC}">
              <c16:uniqueId val="{00000000-E01C-4E70-A5A8-25EF45493FAE}"/>
            </c:ext>
          </c:extLst>
        </c:ser>
        <c:ser>
          <c:idx val="1"/>
          <c:order val="1"/>
          <c:tx>
            <c:strRef>
              <c:f>Calculate_Compensator_Matrix!$A$24</c:f>
              <c:strCache>
                <c:ptCount val="1"/>
                <c:pt idx="0">
                  <c:v>33.44</c:v>
                </c:pt>
              </c:strCache>
            </c:strRef>
          </c:tx>
          <c:spPr>
            <a:ln w="19050" cap="rnd">
              <a:solidFill>
                <a:schemeClr val="accent2"/>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Calculate_Compensator_Matrix!$B$24:$K$24</c:f>
              <c:numCache>
                <c:formatCode>0.0000</c:formatCode>
                <c:ptCount val="10"/>
                <c:pt idx="0">
                  <c:v>-1.0332959999999981E-2</c:v>
                </c:pt>
                <c:pt idx="1">
                  <c:v>-8.2499599999999798E-3</c:v>
                </c:pt>
                <c:pt idx="2">
                  <c:v>-6.6999959999999983E-2</c:v>
                </c:pt>
                <c:pt idx="3">
                  <c:v>-5.2832959999999984E-2</c:v>
                </c:pt>
                <c:pt idx="4">
                  <c:v>-6.6166959999999983E-2</c:v>
                </c:pt>
                <c:pt idx="5">
                  <c:v>-3.5332959999999983E-2</c:v>
                </c:pt>
                <c:pt idx="6">
                  <c:v>-1.616695999999998E-2</c:v>
                </c:pt>
                <c:pt idx="7">
                  <c:v>3.0000400000000163E-3</c:v>
                </c:pt>
                <c:pt idx="8">
                  <c:v>-1.7416959999999981E-2</c:v>
                </c:pt>
                <c:pt idx="9">
                  <c:v>-1.3666959999999985E-2</c:v>
                </c:pt>
              </c:numCache>
            </c:numRef>
          </c:yVal>
          <c:smooth val="0"/>
          <c:extLst>
            <c:ext xmlns:c16="http://schemas.microsoft.com/office/drawing/2014/chart" uri="{C3380CC4-5D6E-409C-BE32-E72D297353CC}">
              <c16:uniqueId val="{00000001-E01C-4E70-A5A8-25EF45493FAE}"/>
            </c:ext>
          </c:extLst>
        </c:ser>
        <c:ser>
          <c:idx val="2"/>
          <c:order val="2"/>
          <c:tx>
            <c:strRef>
              <c:f>Calculate_Compensator_Matrix!$A$25</c:f>
              <c:strCache>
                <c:ptCount val="1"/>
                <c:pt idx="0">
                  <c:v>54.89</c:v>
                </c:pt>
              </c:strCache>
            </c:strRef>
          </c:tx>
          <c:spPr>
            <a:ln w="19050" cap="rnd">
              <a:solidFill>
                <a:schemeClr val="accent3"/>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Calculate_Compensator_Matrix!$B$25:$K$25</c:f>
              <c:numCache>
                <c:formatCode>0.0000</c:formatCode>
                <c:ptCount val="10"/>
                <c:pt idx="0">
                  <c:v>1.8417040000000023E-2</c:v>
                </c:pt>
                <c:pt idx="1">
                  <c:v>1.508304000000002E-2</c:v>
                </c:pt>
                <c:pt idx="2">
                  <c:v>-4.741695999999998E-2</c:v>
                </c:pt>
                <c:pt idx="3">
                  <c:v>-4.3666959999999984E-2</c:v>
                </c:pt>
                <c:pt idx="4">
                  <c:v>-6.1999959999999979E-2</c:v>
                </c:pt>
                <c:pt idx="5">
                  <c:v>-2.9499959999999981E-2</c:v>
                </c:pt>
                <c:pt idx="6">
                  <c:v>-8.6669599999999805E-3</c:v>
                </c:pt>
                <c:pt idx="7">
                  <c:v>1.7500400000000152E-3</c:v>
                </c:pt>
                <c:pt idx="8">
                  <c:v>3.0000400000000163E-3</c:v>
                </c:pt>
                <c:pt idx="9">
                  <c:v>3.417040000000017E-3</c:v>
                </c:pt>
              </c:numCache>
            </c:numRef>
          </c:yVal>
          <c:smooth val="0"/>
          <c:extLst>
            <c:ext xmlns:c16="http://schemas.microsoft.com/office/drawing/2014/chart" uri="{C3380CC4-5D6E-409C-BE32-E72D297353CC}">
              <c16:uniqueId val="{00000002-E01C-4E70-A5A8-25EF45493FAE}"/>
            </c:ext>
          </c:extLst>
        </c:ser>
        <c:ser>
          <c:idx val="3"/>
          <c:order val="3"/>
          <c:tx>
            <c:strRef>
              <c:f>Calculate_Compensator_Matrix!$A$26</c:f>
              <c:strCache>
                <c:ptCount val="1"/>
                <c:pt idx="0">
                  <c:v>76.33</c:v>
                </c:pt>
              </c:strCache>
            </c:strRef>
          </c:tx>
          <c:spPr>
            <a:ln w="19050" cap="rnd">
              <a:solidFill>
                <a:schemeClr val="accent4"/>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Calculate_Compensator_Matrix!$B$26:$K$26</c:f>
              <c:numCache>
                <c:formatCode>0.0000</c:formatCode>
                <c:ptCount val="10"/>
                <c:pt idx="0">
                  <c:v>3.0917040000000021E-2</c:v>
                </c:pt>
                <c:pt idx="1">
                  <c:v>1.9250040000000024E-2</c:v>
                </c:pt>
                <c:pt idx="2">
                  <c:v>-2.4916959999999981E-2</c:v>
                </c:pt>
                <c:pt idx="3">
                  <c:v>-1.9499959999999983E-2</c:v>
                </c:pt>
                <c:pt idx="4">
                  <c:v>-4.9499959999999982E-2</c:v>
                </c:pt>
                <c:pt idx="5">
                  <c:v>-1.6999959999999981E-2</c:v>
                </c:pt>
                <c:pt idx="6">
                  <c:v>9.1704000000001479E-4</c:v>
                </c:pt>
                <c:pt idx="7">
                  <c:v>2.2167040000000013E-2</c:v>
                </c:pt>
                <c:pt idx="8">
                  <c:v>5.0830400000000178E-3</c:v>
                </c:pt>
                <c:pt idx="9">
                  <c:v>3.0083040000000019E-2</c:v>
                </c:pt>
              </c:numCache>
            </c:numRef>
          </c:yVal>
          <c:smooth val="0"/>
          <c:extLst>
            <c:ext xmlns:c16="http://schemas.microsoft.com/office/drawing/2014/chart" uri="{C3380CC4-5D6E-409C-BE32-E72D297353CC}">
              <c16:uniqueId val="{00000003-E01C-4E70-A5A8-25EF45493FAE}"/>
            </c:ext>
          </c:extLst>
        </c:ser>
        <c:ser>
          <c:idx val="4"/>
          <c:order val="4"/>
          <c:tx>
            <c:strRef>
              <c:f>Calculate_Compensator_Matrix!$A$27</c:f>
              <c:strCache>
                <c:ptCount val="1"/>
                <c:pt idx="0">
                  <c:v>97.78</c:v>
                </c:pt>
              </c:strCache>
            </c:strRef>
          </c:tx>
          <c:spPr>
            <a:ln w="19050" cap="rnd">
              <a:solidFill>
                <a:schemeClr val="accent5"/>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Calculate_Compensator_Matrix!$B$27:$K$27</c:f>
              <c:numCache>
                <c:formatCode>0.0000</c:formatCode>
                <c:ptCount val="10"/>
                <c:pt idx="0">
                  <c:v>3.8000040000000013E-2</c:v>
                </c:pt>
                <c:pt idx="1">
                  <c:v>3.050004000000002E-2</c:v>
                </c:pt>
                <c:pt idx="2">
                  <c:v>-8.6669599999999805E-3</c:v>
                </c:pt>
                <c:pt idx="3">
                  <c:v>-1.1166959999999983E-2</c:v>
                </c:pt>
                <c:pt idx="4">
                  <c:v>-4.6166959999999979E-2</c:v>
                </c:pt>
                <c:pt idx="5">
                  <c:v>-1.6999959999999981E-2</c:v>
                </c:pt>
                <c:pt idx="6">
                  <c:v>-3.3295999999997938E-4</c:v>
                </c:pt>
                <c:pt idx="7">
                  <c:v>1.8417040000000023E-2</c:v>
                </c:pt>
                <c:pt idx="8">
                  <c:v>-1.9999599999999812E-3</c:v>
                </c:pt>
                <c:pt idx="9">
                  <c:v>2.0917040000000012E-2</c:v>
                </c:pt>
              </c:numCache>
            </c:numRef>
          </c:yVal>
          <c:smooth val="0"/>
          <c:extLst>
            <c:ext xmlns:c16="http://schemas.microsoft.com/office/drawing/2014/chart" uri="{C3380CC4-5D6E-409C-BE32-E72D297353CC}">
              <c16:uniqueId val="{00000004-E01C-4E70-A5A8-25EF45493FAE}"/>
            </c:ext>
          </c:extLst>
        </c:ser>
        <c:ser>
          <c:idx val="5"/>
          <c:order val="5"/>
          <c:tx>
            <c:strRef>
              <c:f>Calculate_Compensator_Matrix!$A$28</c:f>
              <c:strCache>
                <c:ptCount val="1"/>
                <c:pt idx="0">
                  <c:v>119.22</c:v>
                </c:pt>
              </c:strCache>
            </c:strRef>
          </c:tx>
          <c:spPr>
            <a:ln w="19050" cap="rnd">
              <a:solidFill>
                <a:schemeClr val="accent6"/>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Calculate_Compensator_Matrix!$B$28:$K$28</c:f>
              <c:numCache>
                <c:formatCode>0.0000</c:formatCode>
                <c:ptCount val="10"/>
                <c:pt idx="0">
                  <c:v>4.3000040000000017E-2</c:v>
                </c:pt>
                <c:pt idx="1">
                  <c:v>3.3000040000000022E-2</c:v>
                </c:pt>
                <c:pt idx="2">
                  <c:v>-9.4999599999999809E-3</c:v>
                </c:pt>
                <c:pt idx="3">
                  <c:v>-1.2416959999999984E-2</c:v>
                </c:pt>
                <c:pt idx="4">
                  <c:v>-5.3249959999999985E-2</c:v>
                </c:pt>
                <c:pt idx="5">
                  <c:v>-2.5332959999999981E-2</c:v>
                </c:pt>
                <c:pt idx="6">
                  <c:v>-3.666959999999983E-3</c:v>
                </c:pt>
                <c:pt idx="7">
                  <c:v>2.5500040000000015E-2</c:v>
                </c:pt>
                <c:pt idx="8">
                  <c:v>3.8330400000000167E-3</c:v>
                </c:pt>
                <c:pt idx="9">
                  <c:v>2.8000040000000018E-2</c:v>
                </c:pt>
              </c:numCache>
            </c:numRef>
          </c:yVal>
          <c:smooth val="0"/>
          <c:extLst>
            <c:ext xmlns:c16="http://schemas.microsoft.com/office/drawing/2014/chart" uri="{C3380CC4-5D6E-409C-BE32-E72D297353CC}">
              <c16:uniqueId val="{00000005-E01C-4E70-A5A8-25EF45493FAE}"/>
            </c:ext>
          </c:extLst>
        </c:ser>
        <c:ser>
          <c:idx val="6"/>
          <c:order val="6"/>
          <c:tx>
            <c:strRef>
              <c:f>Calculate_Compensator_Matrix!$A$29</c:f>
              <c:strCache>
                <c:ptCount val="1"/>
                <c:pt idx="0">
                  <c:v>140.66</c:v>
                </c:pt>
              </c:strCache>
            </c:strRef>
          </c:tx>
          <c:spPr>
            <a:ln w="19050" cap="rnd">
              <a:solidFill>
                <a:schemeClr val="accent1">
                  <a:lumMod val="60000"/>
                </a:schemeClr>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Calculate_Compensator_Matrix!$B$29:$K$29</c:f>
              <c:numCache>
                <c:formatCode>0.0000</c:formatCode>
                <c:ptCount val="10"/>
                <c:pt idx="0">
                  <c:v>4.3000040000000017E-2</c:v>
                </c:pt>
                <c:pt idx="1">
                  <c:v>3.6750040000000012E-2</c:v>
                </c:pt>
                <c:pt idx="2">
                  <c:v>-9.4999599999999809E-3</c:v>
                </c:pt>
                <c:pt idx="3">
                  <c:v>-8.2499599999999798E-3</c:v>
                </c:pt>
                <c:pt idx="4">
                  <c:v>-3.8666959999999979E-2</c:v>
                </c:pt>
                <c:pt idx="5">
                  <c:v>-1.8249959999999982E-2</c:v>
                </c:pt>
                <c:pt idx="6">
                  <c:v>1.3330400000000214E-3</c:v>
                </c:pt>
                <c:pt idx="7">
                  <c:v>1.1333040000000016E-2</c:v>
                </c:pt>
                <c:pt idx="8">
                  <c:v>-4.0829599999999827E-3</c:v>
                </c:pt>
                <c:pt idx="9">
                  <c:v>1.8833040000000023E-2</c:v>
                </c:pt>
              </c:numCache>
            </c:numRef>
          </c:yVal>
          <c:smooth val="0"/>
          <c:extLst>
            <c:ext xmlns:c16="http://schemas.microsoft.com/office/drawing/2014/chart" uri="{C3380CC4-5D6E-409C-BE32-E72D297353CC}">
              <c16:uniqueId val="{00000006-E01C-4E70-A5A8-25EF45493FAE}"/>
            </c:ext>
          </c:extLst>
        </c:ser>
        <c:ser>
          <c:idx val="7"/>
          <c:order val="7"/>
          <c:tx>
            <c:strRef>
              <c:f>Calculate_Compensator_Matrix!$A$30</c:f>
              <c:strCache>
                <c:ptCount val="1"/>
                <c:pt idx="0">
                  <c:v>162.11</c:v>
                </c:pt>
              </c:strCache>
            </c:strRef>
          </c:tx>
          <c:spPr>
            <a:ln w="19050" cap="rnd">
              <a:solidFill>
                <a:schemeClr val="accent2">
                  <a:lumMod val="60000"/>
                </a:schemeClr>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Calculate_Compensator_Matrix!$B$30:$K$30</c:f>
              <c:numCache>
                <c:formatCode>0.0000</c:formatCode>
                <c:ptCount val="10"/>
                <c:pt idx="0">
                  <c:v>3.5500040000000024E-2</c:v>
                </c:pt>
                <c:pt idx="1">
                  <c:v>2.3833040000000014E-2</c:v>
                </c:pt>
                <c:pt idx="2">
                  <c:v>-1.574995999999998E-2</c:v>
                </c:pt>
                <c:pt idx="3">
                  <c:v>-6.1669599999999783E-3</c:v>
                </c:pt>
                <c:pt idx="4">
                  <c:v>-2.9916959999999982E-2</c:v>
                </c:pt>
                <c:pt idx="5">
                  <c:v>-6.9999599999999787E-3</c:v>
                </c:pt>
                <c:pt idx="6">
                  <c:v>1.3330400000000214E-3</c:v>
                </c:pt>
                <c:pt idx="7">
                  <c:v>2.3000040000000013E-2</c:v>
                </c:pt>
                <c:pt idx="8">
                  <c:v>9.6670400000000156E-3</c:v>
                </c:pt>
                <c:pt idx="9">
                  <c:v>3.0917040000000021E-2</c:v>
                </c:pt>
              </c:numCache>
            </c:numRef>
          </c:yVal>
          <c:smooth val="0"/>
          <c:extLst>
            <c:ext xmlns:c16="http://schemas.microsoft.com/office/drawing/2014/chart" uri="{C3380CC4-5D6E-409C-BE32-E72D297353CC}">
              <c16:uniqueId val="{00000007-E01C-4E70-A5A8-25EF45493FAE}"/>
            </c:ext>
          </c:extLst>
        </c:ser>
        <c:ser>
          <c:idx val="8"/>
          <c:order val="8"/>
          <c:tx>
            <c:strRef>
              <c:f>Calculate_Compensator_Matrix!$A$31</c:f>
              <c:strCache>
                <c:ptCount val="1"/>
                <c:pt idx="0">
                  <c:v>183.55</c:v>
                </c:pt>
              </c:strCache>
            </c:strRef>
          </c:tx>
          <c:spPr>
            <a:ln w="19050" cap="rnd">
              <a:solidFill>
                <a:schemeClr val="accent3">
                  <a:lumMod val="60000"/>
                </a:schemeClr>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Calculate_Compensator_Matrix!$B$31:$K$31</c:f>
              <c:numCache>
                <c:formatCode>0.0000</c:formatCode>
                <c:ptCount val="10"/>
                <c:pt idx="0">
                  <c:v>1.5917040000000021E-2</c:v>
                </c:pt>
                <c:pt idx="1">
                  <c:v>1.2583040000000018E-2</c:v>
                </c:pt>
                <c:pt idx="2">
                  <c:v>-2.3666959999999983E-2</c:v>
                </c:pt>
                <c:pt idx="3">
                  <c:v>-6.1669599999999783E-3</c:v>
                </c:pt>
                <c:pt idx="4">
                  <c:v>-2.4916959999999981E-2</c:v>
                </c:pt>
                <c:pt idx="5">
                  <c:v>-7.4995999999998009E-4</c:v>
                </c:pt>
                <c:pt idx="6">
                  <c:v>1.3000040000000018E-2</c:v>
                </c:pt>
                <c:pt idx="7">
                  <c:v>2.0500040000000025E-2</c:v>
                </c:pt>
                <c:pt idx="8">
                  <c:v>3.8330400000000167E-3</c:v>
                </c:pt>
                <c:pt idx="9">
                  <c:v>3.7167040000000012E-2</c:v>
                </c:pt>
              </c:numCache>
            </c:numRef>
          </c:yVal>
          <c:smooth val="0"/>
          <c:extLst>
            <c:ext xmlns:c16="http://schemas.microsoft.com/office/drawing/2014/chart" uri="{C3380CC4-5D6E-409C-BE32-E72D297353CC}">
              <c16:uniqueId val="{00000008-E01C-4E70-A5A8-25EF45493FAE}"/>
            </c:ext>
          </c:extLst>
        </c:ser>
        <c:ser>
          <c:idx val="9"/>
          <c:order val="9"/>
          <c:tx>
            <c:strRef>
              <c:f>Calculate_Compensator_Matrix!$A$32</c:f>
              <c:strCache>
                <c:ptCount val="1"/>
                <c:pt idx="0">
                  <c:v>205.00</c:v>
                </c:pt>
              </c:strCache>
            </c:strRef>
          </c:tx>
          <c:spPr>
            <a:ln w="19050" cap="rnd">
              <a:solidFill>
                <a:schemeClr val="accent4">
                  <a:lumMod val="60000"/>
                </a:schemeClr>
              </a:solidFill>
              <a:round/>
            </a:ln>
            <a:effectLst/>
          </c:spPr>
          <c:marker>
            <c:symbol val="none"/>
          </c:marker>
          <c:xVal>
            <c:numRef>
              <c:f>Calculate_Compensator_Matrix!$B$22:$K$22</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Calculate_Compensator_Matrix!$B$32:$K$32</c:f>
              <c:numCache>
                <c:formatCode>0.0000</c:formatCode>
                <c:ptCount val="10"/>
                <c:pt idx="0">
                  <c:v>2.5917040000000016E-2</c:v>
                </c:pt>
                <c:pt idx="1">
                  <c:v>2.4667040000000015E-2</c:v>
                </c:pt>
                <c:pt idx="2">
                  <c:v>6.3330400000000189E-3</c:v>
                </c:pt>
                <c:pt idx="3">
                  <c:v>2.6750040000000017E-2</c:v>
                </c:pt>
                <c:pt idx="4">
                  <c:v>-1.7832959999999981E-2</c:v>
                </c:pt>
                <c:pt idx="5">
                  <c:v>1.6333040000000021E-2</c:v>
                </c:pt>
                <c:pt idx="6">
                  <c:v>2.5083040000000015E-2</c:v>
                </c:pt>
                <c:pt idx="7">
                  <c:v>3.4667040000000024E-2</c:v>
                </c:pt>
                <c:pt idx="8">
                  <c:v>1.7167040000000022E-2</c:v>
                </c:pt>
                <c:pt idx="9">
                  <c:v>5.5083040000000014E-2</c:v>
                </c:pt>
              </c:numCache>
            </c:numRef>
          </c:yVal>
          <c:smooth val="0"/>
          <c:extLst>
            <c:ext xmlns:c16="http://schemas.microsoft.com/office/drawing/2014/chart" uri="{C3380CC4-5D6E-409C-BE32-E72D297353CC}">
              <c16:uniqueId val="{00000009-E01C-4E70-A5A8-25EF45493FAE}"/>
            </c:ext>
          </c:extLst>
        </c:ser>
        <c:dLbls>
          <c:showLegendKey val="0"/>
          <c:showVal val="0"/>
          <c:showCatName val="0"/>
          <c:showSerName val="0"/>
          <c:showPercent val="0"/>
          <c:showBubbleSize val="0"/>
        </c:dLbls>
        <c:axId val="791881664"/>
        <c:axId val="791882144"/>
      </c:scatterChart>
      <c:valAx>
        <c:axId val="79188166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82144"/>
        <c:crosses val="autoZero"/>
        <c:crossBetween val="midCat"/>
      </c:valAx>
      <c:valAx>
        <c:axId val="79188214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81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Compensator Minus</a:t>
            </a:r>
            <a:r>
              <a:rPr lang="en-US" sz="1200" b="1" baseline="0"/>
              <a:t> Inductive Bed Mesh</a:t>
            </a:r>
            <a:endParaRPr lang="en-US" sz="12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Calculate_Compensator_Matrix!$A$52</c:f>
              <c:strCache>
                <c:ptCount val="1"/>
                <c:pt idx="0">
                  <c:v>12.00</c:v>
                </c:pt>
              </c:strCache>
            </c:strRef>
          </c:tx>
          <c:spPr>
            <a:ln w="19050" cap="rnd">
              <a:solidFill>
                <a:schemeClr val="accent1"/>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Calculate_Compensator_Matrix!$B$52:$K$52</c:f>
              <c:numCache>
                <c:formatCode>0.0000</c:formatCode>
                <c:ptCount val="10"/>
                <c:pt idx="0">
                  <c:v>9.499959999999974E-3</c:v>
                </c:pt>
                <c:pt idx="1">
                  <c:v>8.6999959999999987E-2</c:v>
                </c:pt>
                <c:pt idx="2">
                  <c:v>0.13741695999999998</c:v>
                </c:pt>
                <c:pt idx="3">
                  <c:v>8.6999959999999987E-2</c:v>
                </c:pt>
                <c:pt idx="4">
                  <c:v>0.11408295999999998</c:v>
                </c:pt>
                <c:pt idx="5">
                  <c:v>0.10866695999999998</c:v>
                </c:pt>
                <c:pt idx="6">
                  <c:v>8.5749959999999986E-2</c:v>
                </c:pt>
                <c:pt idx="7">
                  <c:v>6.408295999999998E-2</c:v>
                </c:pt>
                <c:pt idx="8">
                  <c:v>0.14741695999999999</c:v>
                </c:pt>
                <c:pt idx="9">
                  <c:v>0.11408295999999997</c:v>
                </c:pt>
              </c:numCache>
            </c:numRef>
          </c:yVal>
          <c:smooth val="0"/>
          <c:extLst>
            <c:ext xmlns:c16="http://schemas.microsoft.com/office/drawing/2014/chart" uri="{C3380CC4-5D6E-409C-BE32-E72D297353CC}">
              <c16:uniqueId val="{00000000-8145-460A-9078-8F3A566EB509}"/>
            </c:ext>
          </c:extLst>
        </c:ser>
        <c:ser>
          <c:idx val="1"/>
          <c:order val="1"/>
          <c:tx>
            <c:strRef>
              <c:f>Calculate_Compensator_Matrix!$A$53</c:f>
              <c:strCache>
                <c:ptCount val="1"/>
                <c:pt idx="0">
                  <c:v>33.44</c:v>
                </c:pt>
              </c:strCache>
            </c:strRef>
          </c:tx>
          <c:spPr>
            <a:ln w="19050" cap="rnd">
              <a:solidFill>
                <a:schemeClr val="accent2"/>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Calculate_Compensator_Matrix!$B$53:$K$53</c:f>
              <c:numCache>
                <c:formatCode>0.0000</c:formatCode>
                <c:ptCount val="10"/>
                <c:pt idx="0">
                  <c:v>5.0332959999999982E-2</c:v>
                </c:pt>
                <c:pt idx="1">
                  <c:v>0.11824995999999999</c:v>
                </c:pt>
                <c:pt idx="2">
                  <c:v>0.17699995999999998</c:v>
                </c:pt>
                <c:pt idx="3">
                  <c:v>0.16283295999999997</c:v>
                </c:pt>
                <c:pt idx="4">
                  <c:v>0.18616695999999999</c:v>
                </c:pt>
                <c:pt idx="5">
                  <c:v>0.15533295999999996</c:v>
                </c:pt>
                <c:pt idx="6">
                  <c:v>0.12616695999999999</c:v>
                </c:pt>
                <c:pt idx="7">
                  <c:v>0.10699995999999998</c:v>
                </c:pt>
                <c:pt idx="8">
                  <c:v>0.15741695999999999</c:v>
                </c:pt>
                <c:pt idx="9">
                  <c:v>0.16366695999999997</c:v>
                </c:pt>
              </c:numCache>
            </c:numRef>
          </c:yVal>
          <c:smooth val="0"/>
          <c:extLst>
            <c:ext xmlns:c16="http://schemas.microsoft.com/office/drawing/2014/chart" uri="{C3380CC4-5D6E-409C-BE32-E72D297353CC}">
              <c16:uniqueId val="{00000001-8145-460A-9078-8F3A566EB509}"/>
            </c:ext>
          </c:extLst>
        </c:ser>
        <c:ser>
          <c:idx val="2"/>
          <c:order val="2"/>
          <c:tx>
            <c:strRef>
              <c:f>Calculate_Compensator_Matrix!$A$54</c:f>
              <c:strCache>
                <c:ptCount val="1"/>
                <c:pt idx="0">
                  <c:v>54.89</c:v>
                </c:pt>
              </c:strCache>
            </c:strRef>
          </c:tx>
          <c:spPr>
            <a:ln w="19050" cap="rnd">
              <a:solidFill>
                <a:schemeClr val="accent3"/>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Calculate_Compensator_Matrix!$B$54:$K$54</c:f>
              <c:numCache>
                <c:formatCode>0.0000</c:formatCode>
                <c:ptCount val="10"/>
                <c:pt idx="0">
                  <c:v>-1.8417040000000023E-2</c:v>
                </c:pt>
                <c:pt idx="1">
                  <c:v>6.4916959999999982E-2</c:v>
                </c:pt>
                <c:pt idx="2">
                  <c:v>0.15741695999999999</c:v>
                </c:pt>
                <c:pt idx="3">
                  <c:v>0.15366695999999999</c:v>
                </c:pt>
                <c:pt idx="4">
                  <c:v>0.18199995999999996</c:v>
                </c:pt>
                <c:pt idx="5">
                  <c:v>0.13949995999999998</c:v>
                </c:pt>
                <c:pt idx="6">
                  <c:v>0.11866695999999999</c:v>
                </c:pt>
                <c:pt idx="7">
                  <c:v>0.10824995999999998</c:v>
                </c:pt>
                <c:pt idx="8">
                  <c:v>0.14699995999999999</c:v>
                </c:pt>
                <c:pt idx="9">
                  <c:v>0.14658295999999998</c:v>
                </c:pt>
              </c:numCache>
            </c:numRef>
          </c:yVal>
          <c:smooth val="0"/>
          <c:extLst>
            <c:ext xmlns:c16="http://schemas.microsoft.com/office/drawing/2014/chart" uri="{C3380CC4-5D6E-409C-BE32-E72D297353CC}">
              <c16:uniqueId val="{00000002-8145-460A-9078-8F3A566EB509}"/>
            </c:ext>
          </c:extLst>
        </c:ser>
        <c:ser>
          <c:idx val="3"/>
          <c:order val="3"/>
          <c:tx>
            <c:strRef>
              <c:f>Calculate_Compensator_Matrix!$A$55</c:f>
              <c:strCache>
                <c:ptCount val="1"/>
                <c:pt idx="0">
                  <c:v>76.33</c:v>
                </c:pt>
              </c:strCache>
            </c:strRef>
          </c:tx>
          <c:spPr>
            <a:ln w="19050" cap="rnd">
              <a:solidFill>
                <a:schemeClr val="accent4"/>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Calculate_Compensator_Matrix!$B$55:$K$55</c:f>
              <c:numCache>
                <c:formatCode>0.0000</c:formatCode>
                <c:ptCount val="10"/>
                <c:pt idx="0">
                  <c:v>-3.0917040000000021E-2</c:v>
                </c:pt>
                <c:pt idx="1">
                  <c:v>6.0749959999999978E-2</c:v>
                </c:pt>
                <c:pt idx="2">
                  <c:v>0.10491695999999998</c:v>
                </c:pt>
                <c:pt idx="3">
                  <c:v>9.9499959999999985E-2</c:v>
                </c:pt>
                <c:pt idx="4">
                  <c:v>0.14949995999999999</c:v>
                </c:pt>
                <c:pt idx="5">
                  <c:v>0.10699995999999998</c:v>
                </c:pt>
                <c:pt idx="6">
                  <c:v>7.908295999999998E-2</c:v>
                </c:pt>
                <c:pt idx="7">
                  <c:v>6.7832959999999984E-2</c:v>
                </c:pt>
                <c:pt idx="8">
                  <c:v>0.13491696</c:v>
                </c:pt>
                <c:pt idx="9">
                  <c:v>9.9916959999999985E-2</c:v>
                </c:pt>
              </c:numCache>
            </c:numRef>
          </c:yVal>
          <c:smooth val="0"/>
          <c:extLst>
            <c:ext xmlns:c16="http://schemas.microsoft.com/office/drawing/2014/chart" uri="{C3380CC4-5D6E-409C-BE32-E72D297353CC}">
              <c16:uniqueId val="{00000003-8145-460A-9078-8F3A566EB509}"/>
            </c:ext>
          </c:extLst>
        </c:ser>
        <c:ser>
          <c:idx val="4"/>
          <c:order val="4"/>
          <c:tx>
            <c:strRef>
              <c:f>Calculate_Compensator_Matrix!$A$57</c:f>
              <c:strCache>
                <c:ptCount val="1"/>
                <c:pt idx="0">
                  <c:v>119.22</c:v>
                </c:pt>
              </c:strCache>
            </c:strRef>
          </c:tx>
          <c:spPr>
            <a:ln w="19050" cap="rnd">
              <a:solidFill>
                <a:schemeClr val="accent5"/>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Calculate_Compensator_Matrix!$B$57:$K$57</c:f>
              <c:numCache>
                <c:formatCode>0.0000</c:formatCode>
                <c:ptCount val="10"/>
                <c:pt idx="0">
                  <c:v>-3.3000040000000015E-2</c:v>
                </c:pt>
                <c:pt idx="1">
                  <c:v>1.6999959999999981E-2</c:v>
                </c:pt>
                <c:pt idx="2">
                  <c:v>8.949995999999999E-2</c:v>
                </c:pt>
                <c:pt idx="3">
                  <c:v>9.2416959999999992E-2</c:v>
                </c:pt>
                <c:pt idx="4">
                  <c:v>0.15324995999999999</c:v>
                </c:pt>
                <c:pt idx="5">
                  <c:v>0.11533295999999998</c:v>
                </c:pt>
                <c:pt idx="6">
                  <c:v>8.3666959999999985E-2</c:v>
                </c:pt>
                <c:pt idx="7">
                  <c:v>7.449995999999999E-2</c:v>
                </c:pt>
                <c:pt idx="8">
                  <c:v>0.13616696</c:v>
                </c:pt>
                <c:pt idx="9">
                  <c:v>0.12199995999999998</c:v>
                </c:pt>
              </c:numCache>
            </c:numRef>
          </c:yVal>
          <c:smooth val="0"/>
          <c:extLst>
            <c:ext xmlns:c16="http://schemas.microsoft.com/office/drawing/2014/chart" uri="{C3380CC4-5D6E-409C-BE32-E72D297353CC}">
              <c16:uniqueId val="{00000004-8145-460A-9078-8F3A566EB509}"/>
            </c:ext>
          </c:extLst>
        </c:ser>
        <c:ser>
          <c:idx val="5"/>
          <c:order val="5"/>
          <c:tx>
            <c:strRef>
              <c:f>Calculate_Compensator_Matrix!$A$58</c:f>
              <c:strCache>
                <c:ptCount val="1"/>
                <c:pt idx="0">
                  <c:v>140.66</c:v>
                </c:pt>
              </c:strCache>
            </c:strRef>
          </c:tx>
          <c:spPr>
            <a:ln w="19050" cap="rnd">
              <a:solidFill>
                <a:schemeClr val="accent6"/>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Calculate_Compensator_Matrix!$B$58:$K$58</c:f>
              <c:numCache>
                <c:formatCode>0.0000</c:formatCode>
                <c:ptCount val="10"/>
                <c:pt idx="0">
                  <c:v>-2.3000040000000017E-2</c:v>
                </c:pt>
                <c:pt idx="1">
                  <c:v>1.3249959999999991E-2</c:v>
                </c:pt>
                <c:pt idx="2">
                  <c:v>8.949995999999999E-2</c:v>
                </c:pt>
                <c:pt idx="3">
                  <c:v>8.8249959999999988E-2</c:v>
                </c:pt>
                <c:pt idx="4">
                  <c:v>0.13866695999999998</c:v>
                </c:pt>
                <c:pt idx="5">
                  <c:v>0.10824995999999998</c:v>
                </c:pt>
                <c:pt idx="6">
                  <c:v>7.866695999999998E-2</c:v>
                </c:pt>
                <c:pt idx="7">
                  <c:v>0.14866695999999999</c:v>
                </c:pt>
                <c:pt idx="8">
                  <c:v>0.16408296</c:v>
                </c:pt>
                <c:pt idx="9">
                  <c:v>0.13116695999999997</c:v>
                </c:pt>
              </c:numCache>
            </c:numRef>
          </c:yVal>
          <c:smooth val="0"/>
          <c:extLst>
            <c:ext xmlns:c16="http://schemas.microsoft.com/office/drawing/2014/chart" uri="{C3380CC4-5D6E-409C-BE32-E72D297353CC}">
              <c16:uniqueId val="{00000005-8145-460A-9078-8F3A566EB509}"/>
            </c:ext>
          </c:extLst>
        </c:ser>
        <c:ser>
          <c:idx val="6"/>
          <c:order val="6"/>
          <c:tx>
            <c:strRef>
              <c:f>Calculate_Compensator_Matrix!$A$59</c:f>
              <c:strCache>
                <c:ptCount val="1"/>
                <c:pt idx="0">
                  <c:v>162.11</c:v>
                </c:pt>
              </c:strCache>
            </c:strRef>
          </c:tx>
          <c:spPr>
            <a:ln w="19050" cap="rnd">
              <a:solidFill>
                <a:schemeClr val="accent1">
                  <a:lumMod val="60000"/>
                </a:schemeClr>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Calculate_Compensator_Matrix!$B$59:$K$59</c:f>
              <c:numCache>
                <c:formatCode>0.0000</c:formatCode>
                <c:ptCount val="10"/>
                <c:pt idx="0">
                  <c:v>1.4499959999999978E-2</c:v>
                </c:pt>
                <c:pt idx="1">
                  <c:v>3.6166959999999984E-2</c:v>
                </c:pt>
                <c:pt idx="2">
                  <c:v>9.5749959999999981E-2</c:v>
                </c:pt>
                <c:pt idx="3">
                  <c:v>8.6166959999999987E-2</c:v>
                </c:pt>
                <c:pt idx="4">
                  <c:v>0.12991696</c:v>
                </c:pt>
                <c:pt idx="5">
                  <c:v>9.6999959999999968E-2</c:v>
                </c:pt>
                <c:pt idx="6">
                  <c:v>7.866695999999998E-2</c:v>
                </c:pt>
                <c:pt idx="7">
                  <c:v>0.13699995999999998</c:v>
                </c:pt>
                <c:pt idx="8">
                  <c:v>0.17033295999999998</c:v>
                </c:pt>
                <c:pt idx="9">
                  <c:v>0.14908295999999999</c:v>
                </c:pt>
              </c:numCache>
            </c:numRef>
          </c:yVal>
          <c:smooth val="0"/>
          <c:extLst>
            <c:ext xmlns:c16="http://schemas.microsoft.com/office/drawing/2014/chart" uri="{C3380CC4-5D6E-409C-BE32-E72D297353CC}">
              <c16:uniqueId val="{00000006-8145-460A-9078-8F3A566EB509}"/>
            </c:ext>
          </c:extLst>
        </c:ser>
        <c:ser>
          <c:idx val="7"/>
          <c:order val="7"/>
          <c:tx>
            <c:strRef>
              <c:f>Calculate_Compensator_Matrix!$A$60</c:f>
              <c:strCache>
                <c:ptCount val="1"/>
                <c:pt idx="0">
                  <c:v>183.55</c:v>
                </c:pt>
              </c:strCache>
            </c:strRef>
          </c:tx>
          <c:spPr>
            <a:ln w="19050" cap="rnd">
              <a:solidFill>
                <a:schemeClr val="accent2">
                  <a:lumMod val="60000"/>
                </a:schemeClr>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Calculate_Compensator_Matrix!$B$60:$K$60</c:f>
              <c:numCache>
                <c:formatCode>0.0000</c:formatCode>
                <c:ptCount val="10"/>
                <c:pt idx="0">
                  <c:v>6.408295999999998E-2</c:v>
                </c:pt>
                <c:pt idx="1">
                  <c:v>7.7416959999999979E-2</c:v>
                </c:pt>
                <c:pt idx="2">
                  <c:v>0.11366695999999998</c:v>
                </c:pt>
                <c:pt idx="3">
                  <c:v>9.6166959999999968E-2</c:v>
                </c:pt>
                <c:pt idx="4">
                  <c:v>0.12491695999999999</c:v>
                </c:pt>
                <c:pt idx="5">
                  <c:v>9.0749959999999977E-2</c:v>
                </c:pt>
                <c:pt idx="6">
                  <c:v>7.6999959999999978E-2</c:v>
                </c:pt>
                <c:pt idx="7">
                  <c:v>0.13949995999999998</c:v>
                </c:pt>
                <c:pt idx="8">
                  <c:v>0.18616695999999999</c:v>
                </c:pt>
                <c:pt idx="9">
                  <c:v>0.15283295999999999</c:v>
                </c:pt>
              </c:numCache>
            </c:numRef>
          </c:yVal>
          <c:smooth val="0"/>
          <c:extLst>
            <c:ext xmlns:c16="http://schemas.microsoft.com/office/drawing/2014/chart" uri="{C3380CC4-5D6E-409C-BE32-E72D297353CC}">
              <c16:uniqueId val="{00000007-8145-460A-9078-8F3A566EB509}"/>
            </c:ext>
          </c:extLst>
        </c:ser>
        <c:ser>
          <c:idx val="8"/>
          <c:order val="8"/>
          <c:tx>
            <c:strRef>
              <c:f>Calculate_Compensator_Matrix!$A$56</c:f>
              <c:strCache>
                <c:ptCount val="1"/>
                <c:pt idx="0">
                  <c:v>97.78</c:v>
                </c:pt>
              </c:strCache>
            </c:strRef>
          </c:tx>
          <c:spPr>
            <a:ln w="19050" cap="rnd">
              <a:solidFill>
                <a:schemeClr val="accent3">
                  <a:lumMod val="60000"/>
                </a:schemeClr>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Calculate_Compensator_Matrix!$B$56:$K$56</c:f>
              <c:numCache>
                <c:formatCode>0.0000</c:formatCode>
                <c:ptCount val="10"/>
                <c:pt idx="0">
                  <c:v>-2.8000040000000011E-2</c:v>
                </c:pt>
                <c:pt idx="1">
                  <c:v>4.9499959999999982E-2</c:v>
                </c:pt>
                <c:pt idx="2">
                  <c:v>8.8666959999999989E-2</c:v>
                </c:pt>
                <c:pt idx="3">
                  <c:v>9.1166959999999991E-2</c:v>
                </c:pt>
                <c:pt idx="4">
                  <c:v>0.14616695999999998</c:v>
                </c:pt>
                <c:pt idx="5">
                  <c:v>0.10699995999999998</c:v>
                </c:pt>
                <c:pt idx="6">
                  <c:v>8.0332959999999981E-2</c:v>
                </c:pt>
                <c:pt idx="7">
                  <c:v>7.1582959999999973E-2</c:v>
                </c:pt>
                <c:pt idx="8">
                  <c:v>0.13199995999999997</c:v>
                </c:pt>
                <c:pt idx="9">
                  <c:v>0.10908295999999999</c:v>
                </c:pt>
              </c:numCache>
            </c:numRef>
          </c:yVal>
          <c:smooth val="0"/>
          <c:extLst>
            <c:ext xmlns:c16="http://schemas.microsoft.com/office/drawing/2014/chart" uri="{C3380CC4-5D6E-409C-BE32-E72D297353CC}">
              <c16:uniqueId val="{00000008-8145-460A-9078-8F3A566EB509}"/>
            </c:ext>
          </c:extLst>
        </c:ser>
        <c:ser>
          <c:idx val="9"/>
          <c:order val="9"/>
          <c:tx>
            <c:strRef>
              <c:f>Calculate_Compensator_Matrix!$A$61</c:f>
              <c:strCache>
                <c:ptCount val="1"/>
                <c:pt idx="0">
                  <c:v>205.00</c:v>
                </c:pt>
              </c:strCache>
            </c:strRef>
          </c:tx>
          <c:spPr>
            <a:ln w="19050" cap="rnd">
              <a:solidFill>
                <a:schemeClr val="accent4">
                  <a:lumMod val="60000"/>
                </a:schemeClr>
              </a:solidFill>
              <a:round/>
            </a:ln>
            <a:effectLst/>
          </c:spPr>
          <c:marker>
            <c:symbol val="none"/>
          </c:marker>
          <c:xVal>
            <c:numRef>
              <c:f>Calculate_Compensator_Matrix!$B$51:$K$51</c:f>
              <c:numCache>
                <c:formatCode>0.00</c:formatCode>
                <c:ptCount val="10"/>
                <c:pt idx="0">
                  <c:v>27</c:v>
                </c:pt>
                <c:pt idx="1">
                  <c:v>47.332999999999998</c:v>
                </c:pt>
                <c:pt idx="2">
                  <c:v>67.665999999999997</c:v>
                </c:pt>
                <c:pt idx="3">
                  <c:v>87.998999999999995</c:v>
                </c:pt>
                <c:pt idx="4">
                  <c:v>108.33199999999999</c:v>
                </c:pt>
                <c:pt idx="5">
                  <c:v>128.66499999999999</c:v>
                </c:pt>
                <c:pt idx="6">
                  <c:v>148.99799999999999</c:v>
                </c:pt>
                <c:pt idx="7">
                  <c:v>169.33099999999999</c:v>
                </c:pt>
                <c:pt idx="8">
                  <c:v>189.66399999999999</c:v>
                </c:pt>
                <c:pt idx="9">
                  <c:v>209.99699999999999</c:v>
                </c:pt>
              </c:numCache>
            </c:numRef>
          </c:xVal>
          <c:yVal>
            <c:numRef>
              <c:f>Calculate_Compensator_Matrix!$B$61:$K$61</c:f>
              <c:numCache>
                <c:formatCode>0.0000</c:formatCode>
                <c:ptCount val="10"/>
                <c:pt idx="0">
                  <c:v>5.4082959999999985E-2</c:v>
                </c:pt>
                <c:pt idx="1">
                  <c:v>7.533295999999999E-2</c:v>
                </c:pt>
                <c:pt idx="2">
                  <c:v>8.3666959999999985E-2</c:v>
                </c:pt>
                <c:pt idx="3">
                  <c:v>7.3249959999999989E-2</c:v>
                </c:pt>
                <c:pt idx="4">
                  <c:v>0.12783296</c:v>
                </c:pt>
                <c:pt idx="5">
                  <c:v>0.10366695999999997</c:v>
                </c:pt>
                <c:pt idx="6">
                  <c:v>0.14491695999999998</c:v>
                </c:pt>
                <c:pt idx="7">
                  <c:v>0.14533295999999996</c:v>
                </c:pt>
                <c:pt idx="8">
                  <c:v>0.17283295999999998</c:v>
                </c:pt>
                <c:pt idx="9">
                  <c:v>0.13491695999999997</c:v>
                </c:pt>
              </c:numCache>
            </c:numRef>
          </c:yVal>
          <c:smooth val="0"/>
          <c:extLst>
            <c:ext xmlns:c16="http://schemas.microsoft.com/office/drawing/2014/chart" uri="{C3380CC4-5D6E-409C-BE32-E72D297353CC}">
              <c16:uniqueId val="{00000009-8145-460A-9078-8F3A566EB509}"/>
            </c:ext>
          </c:extLst>
        </c:ser>
        <c:dLbls>
          <c:showLegendKey val="0"/>
          <c:showVal val="0"/>
          <c:showCatName val="0"/>
          <c:showSerName val="0"/>
          <c:showPercent val="0"/>
          <c:showBubbleSize val="0"/>
        </c:dLbls>
        <c:axId val="1288408112"/>
        <c:axId val="1288401872"/>
      </c:scatterChart>
      <c:valAx>
        <c:axId val="12884081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a:t>
                </a:r>
                <a:r>
                  <a:rPr lang="en-US" baseline="0"/>
                  <a:t> Axis Position, mm</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8401872"/>
        <c:crosses val="autoZero"/>
        <c:crossBetween val="midCat"/>
      </c:valAx>
      <c:valAx>
        <c:axId val="1288401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aseline="0"/>
                  <a:t>Z Height, mm</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8408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312420</xdr:colOff>
      <xdr:row>2</xdr:row>
      <xdr:rowOff>38100</xdr:rowOff>
    </xdr:from>
    <xdr:to>
      <xdr:col>19</xdr:col>
      <xdr:colOff>495300</xdr:colOff>
      <xdr:row>29</xdr:row>
      <xdr:rowOff>45720</xdr:rowOff>
    </xdr:to>
    <xdr:sp macro="" textlink="">
      <xdr:nvSpPr>
        <xdr:cNvPr id="2" name="TextBox 1">
          <a:extLst>
            <a:ext uri="{FF2B5EF4-FFF2-40B4-BE49-F238E27FC236}">
              <a16:creationId xmlns:a16="http://schemas.microsoft.com/office/drawing/2014/main" id="{54D2939E-5FD4-3711-204C-51BFF05640D8}"/>
            </a:ext>
          </a:extLst>
        </xdr:cNvPr>
        <xdr:cNvSpPr txBox="1"/>
      </xdr:nvSpPr>
      <xdr:spPr>
        <a:xfrm>
          <a:off x="312420" y="403860"/>
          <a:ext cx="11765280" cy="494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Worksheets:</a:t>
          </a:r>
        </a:p>
        <a:p>
          <a:endParaRPr lang="en-US" sz="1600" b="1"/>
        </a:p>
        <a:p>
          <a:r>
            <a:rPr lang="en-US" sz="1600" b="1"/>
            <a:t>[Reshimming]</a:t>
          </a:r>
          <a:r>
            <a:rPr lang="en-US" sz="1600" b="1" baseline="0"/>
            <a:t> is an example of how the Kapton shimming was redone, well after original metal shimming at screws and original Kapton tape shimming was done.</a:t>
          </a:r>
        </a:p>
        <a:p>
          <a:endParaRPr lang="en-US" sz="1600" b="1"/>
        </a:p>
        <a:p>
          <a:r>
            <a:rPr lang="en-US" sz="1600" b="1"/>
            <a:t>[Z_tramming_Calc]</a:t>
          </a:r>
          <a:r>
            <a:rPr lang="en-US" sz="1600" b="1" baseline="0"/>
            <a:t> is an example of how the different tramming macros work. The basis for both is two get a difference across the defined bed regions of no more than 0.04 mm.</a:t>
          </a:r>
        </a:p>
        <a:p>
          <a:endParaRPr lang="en-US" sz="1600" b="1" baseline="0"/>
        </a:p>
        <a:p>
          <a:r>
            <a:rPr lang="en-US" sz="1600" b="1" baseline="0"/>
            <a:t>]Mesh_Data] takes the existing bed mesh and existing compensator matrix and produces the text block of bed mesh corrections used in the printer.cfg file.</a:t>
          </a:r>
        </a:p>
        <a:p>
          <a:endParaRPr lang="en-US" sz="1600" b="1" baseline="0"/>
        </a:p>
        <a:p>
          <a:r>
            <a:rPr lang="en-US" sz="1600" b="1" baseline="0"/>
            <a:t>[Compensator] just holds whatever compensation matrix is devised. It serves as both source and backup of the matrix in [Mesh_Data]</a:t>
          </a:r>
        </a:p>
        <a:p>
          <a:endParaRPr lang="en-US" sz="1600" b="1" baseline="0"/>
        </a:p>
        <a:p>
          <a:r>
            <a:rPr lang="en-US" sz="1600" b="1" baseline="0"/>
            <a:t>[nozzle&amp;probe_points] is the probe postion data extracted from the console when the macro BED_MESH_OUTPUT PGP=1 is run.</a:t>
          </a:r>
        </a:p>
        <a:p>
          <a:endParaRPr lang="en-US" sz="1600" b="1" baseline="0"/>
        </a:p>
        <a:p>
          <a:r>
            <a:rPr lang="en-US" sz="1600" b="1" baseline="0"/>
            <a:t>[PROBE_POINTS]  is data extracted from [nozzle&amp;probe_points] for further manipulation</a:t>
          </a:r>
        </a:p>
        <a:p>
          <a:endParaRPr lang="en-US" sz="1600" b="1" baseline="0"/>
        </a:p>
        <a:p>
          <a:r>
            <a:rPr lang="en-US" sz="1600" b="1" baseline="0"/>
            <a:t>Although the file is an .xlsm, the macros have been eliminated from this version, becuase they are not used in this example version f how the compensator was developed.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7</xdr:row>
      <xdr:rowOff>144780</xdr:rowOff>
    </xdr:from>
    <xdr:to>
      <xdr:col>17</xdr:col>
      <xdr:colOff>30480</xdr:colOff>
      <xdr:row>15</xdr:row>
      <xdr:rowOff>106680</xdr:rowOff>
    </xdr:to>
    <xdr:sp macro="" textlink="">
      <xdr:nvSpPr>
        <xdr:cNvPr id="2" name="TextBox 1">
          <a:extLst>
            <a:ext uri="{FF2B5EF4-FFF2-40B4-BE49-F238E27FC236}">
              <a16:creationId xmlns:a16="http://schemas.microsoft.com/office/drawing/2014/main" id="{27525674-6041-4E43-AB13-5B01E2DAE345}"/>
            </a:ext>
          </a:extLst>
        </xdr:cNvPr>
        <xdr:cNvSpPr txBox="1"/>
      </xdr:nvSpPr>
      <xdr:spPr>
        <a:xfrm>
          <a:off x="8633460" y="1424940"/>
          <a:ext cx="3390900" cy="1424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Adding Kapton tape</a:t>
          </a:r>
          <a:r>
            <a:rPr lang="en-US" sz="1100" baseline="0"/>
            <a:t> increases z values (</a:t>
          </a:r>
          <a:r>
            <a:rPr lang="en-US" sz="1100"/>
            <a:t>goes from blue</a:t>
          </a:r>
          <a:r>
            <a:rPr lang="en-US" sz="1100" baseline="0"/>
            <a:t> to red). from bed_mesh_output. and heatmap in mainsail reflect the same values.</a:t>
          </a:r>
        </a:p>
        <a:p>
          <a:r>
            <a:rPr lang="en-US" sz="1100" baseline="0">
              <a:solidFill>
                <a:schemeClr val="dk1"/>
              </a:solidFill>
              <a:effectLst/>
              <a:latin typeface="+mn-lt"/>
              <a:ea typeface="+mn-ea"/>
              <a:cs typeface="+mn-cs"/>
            </a:rPr>
            <a:t>Get the mesh using BED_MESH_OUTPUT PGP=0,  or from the bed mesh saved in the printer.cfg file. In either case use DATA|TEXT T0 COLUMNS to convert the text data to numbers. </a:t>
          </a:r>
          <a:endParaRPr lang="en-US" sz="1100"/>
        </a:p>
      </xdr:txBody>
    </xdr:sp>
    <xdr:clientData/>
  </xdr:twoCellAnchor>
  <xdr:twoCellAnchor>
    <xdr:from>
      <xdr:col>12</xdr:col>
      <xdr:colOff>76200</xdr:colOff>
      <xdr:row>21</xdr:row>
      <xdr:rowOff>60960</xdr:rowOff>
    </xdr:from>
    <xdr:to>
      <xdr:col>16</xdr:col>
      <xdr:colOff>487680</xdr:colOff>
      <xdr:row>26</xdr:row>
      <xdr:rowOff>167640</xdr:rowOff>
    </xdr:to>
    <xdr:sp macro="" textlink="">
      <xdr:nvSpPr>
        <xdr:cNvPr id="3" name="TextBox 2">
          <a:extLst>
            <a:ext uri="{FF2B5EF4-FFF2-40B4-BE49-F238E27FC236}">
              <a16:creationId xmlns:a16="http://schemas.microsoft.com/office/drawing/2014/main" id="{8EE54360-8A6F-4781-A3C2-BDC2265BDD6C}"/>
            </a:ext>
          </a:extLst>
        </xdr:cNvPr>
        <xdr:cNvSpPr txBox="1"/>
      </xdr:nvSpPr>
      <xdr:spPr>
        <a:xfrm>
          <a:off x="8709660" y="3901440"/>
          <a:ext cx="3101340" cy="1021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Added</a:t>
          </a:r>
          <a:r>
            <a:rPr lang="en-US" sz="1100" baseline="0"/>
            <a:t> 10 mm Kapton tape to central front row. To right corner. added double 20 mm Kapton squares. </a:t>
          </a:r>
        </a:p>
        <a:p>
          <a:r>
            <a:rPr lang="en-US" sz="1100" baseline="0"/>
            <a:t>(Found, clear gully at Y33, so changed 10 mm to 20 mm, and removed one layer at 0,220. Intermediate mesh overwritten).</a:t>
          </a:r>
        </a:p>
        <a:p>
          <a:endParaRPr lang="en-US" sz="1100"/>
        </a:p>
      </xdr:txBody>
    </xdr:sp>
    <xdr:clientData/>
  </xdr:twoCellAnchor>
  <xdr:twoCellAnchor>
    <xdr:from>
      <xdr:col>12</xdr:col>
      <xdr:colOff>160020</xdr:colOff>
      <xdr:row>34</xdr:row>
      <xdr:rowOff>0</xdr:rowOff>
    </xdr:from>
    <xdr:to>
      <xdr:col>17</xdr:col>
      <xdr:colOff>251460</xdr:colOff>
      <xdr:row>43</xdr:row>
      <xdr:rowOff>114300</xdr:rowOff>
    </xdr:to>
    <xdr:sp macro="" textlink="">
      <xdr:nvSpPr>
        <xdr:cNvPr id="4" name="TextBox 3">
          <a:extLst>
            <a:ext uri="{FF2B5EF4-FFF2-40B4-BE49-F238E27FC236}">
              <a16:creationId xmlns:a16="http://schemas.microsoft.com/office/drawing/2014/main" id="{6E1C1955-973B-48D8-A869-FA265378205F}"/>
            </a:ext>
          </a:extLst>
        </xdr:cNvPr>
        <xdr:cNvSpPr txBox="1"/>
      </xdr:nvSpPr>
      <xdr:spPr>
        <a:xfrm>
          <a:off x="8793480" y="6217920"/>
          <a:ext cx="3451860" cy="1760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Still problem at X88Y12. Completely cut kapton </a:t>
          </a:r>
          <a:r>
            <a:rPr lang="en-US" sz="1100" baseline="0"/>
            <a:t> section out in that region  Because based on average. some areas left floating.  For instance, now left side looks bad in middle, relative to rest of mesh. There is no middle kapton at left side. To fix would have to remove metal shims under screws, which would cause other issues. However, Z tramming may fix entire issue once the  88,12 fixed?</a:t>
          </a:r>
          <a:endParaRPr lang="en-US" sz="1100"/>
        </a:p>
      </xdr:txBody>
    </xdr:sp>
    <xdr:clientData/>
  </xdr:twoCellAnchor>
  <xdr:twoCellAnchor>
    <xdr:from>
      <xdr:col>12</xdr:col>
      <xdr:colOff>198120</xdr:colOff>
      <xdr:row>46</xdr:row>
      <xdr:rowOff>30480</xdr:rowOff>
    </xdr:from>
    <xdr:to>
      <xdr:col>17</xdr:col>
      <xdr:colOff>236220</xdr:colOff>
      <xdr:row>56</xdr:row>
      <xdr:rowOff>144780</xdr:rowOff>
    </xdr:to>
    <xdr:sp macro="" textlink="">
      <xdr:nvSpPr>
        <xdr:cNvPr id="5" name="TextBox 4">
          <a:extLst>
            <a:ext uri="{FF2B5EF4-FFF2-40B4-BE49-F238E27FC236}">
              <a16:creationId xmlns:a16="http://schemas.microsoft.com/office/drawing/2014/main" id="{B4566693-8F50-491B-A1CD-46C0F1CA2572}"/>
            </a:ext>
          </a:extLst>
        </xdr:cNvPr>
        <xdr:cNvSpPr txBox="1"/>
      </xdr:nvSpPr>
      <xdr:spPr>
        <a:xfrm>
          <a:off x="8831580" y="8442960"/>
          <a:ext cx="3398520" cy="194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Decided to retram before any other shimming. Tried</a:t>
          </a:r>
          <a:r>
            <a:rPr lang="en-US" sz="1100" baseline="0"/>
            <a:t> z-tamming_grid first. Was happy, at 0.02 mm. but z_tramming was unhappy at 0.07 with 0.1 CCW.  The difference is the high bias on left.  Did ajdust and came out 0.02, Did grd and it came out</a:t>
          </a:r>
          <a:r>
            <a:rPr lang="en-US" b="0" i="0">
              <a:solidFill>
                <a:srgbClr val="FFFFFF"/>
              </a:solidFill>
              <a:effectLst/>
              <a:latin typeface="Roboto Mono" panose="00000009000000000000" pitchFamily="49" charset="0"/>
            </a:rPr>
            <a:t> </a:t>
          </a:r>
          <a:r>
            <a:rPr lang="en-US" b="0" i="0">
              <a:solidFill>
                <a:schemeClr val="tx1"/>
              </a:solidFill>
              <a:effectLst/>
              <a:latin typeface="Roboto Mono" panose="00000009000000000000" pitchFamily="49" charset="0"/>
            </a:rPr>
            <a:t>within tolerance set to 0.07, with tilt: 0.05164075992551442 mm</a:t>
          </a:r>
        </a:p>
        <a:p>
          <a:r>
            <a:rPr lang="en-US" sz="1100" b="0" i="0">
              <a:solidFill>
                <a:schemeClr val="tx1"/>
              </a:solidFill>
              <a:effectLst/>
              <a:latin typeface="Roboto Mono" panose="00000009000000000000" pitchFamily="49" charset="0"/>
            </a:rPr>
            <a:t>Reran bed_mesh_calibrate</a:t>
          </a:r>
          <a:endParaRPr lang="en-US" sz="1100">
            <a:solidFill>
              <a:schemeClr val="tx1"/>
            </a:solidFill>
          </a:endParaRPr>
        </a:p>
      </xdr:txBody>
    </xdr:sp>
    <xdr:clientData/>
  </xdr:twoCellAnchor>
  <xdr:twoCellAnchor>
    <xdr:from>
      <xdr:col>12</xdr:col>
      <xdr:colOff>76200</xdr:colOff>
      <xdr:row>60</xdr:row>
      <xdr:rowOff>129540</xdr:rowOff>
    </xdr:from>
    <xdr:to>
      <xdr:col>16</xdr:col>
      <xdr:colOff>251460</xdr:colOff>
      <xdr:row>63</xdr:row>
      <xdr:rowOff>45720</xdr:rowOff>
    </xdr:to>
    <xdr:sp macro="" textlink="">
      <xdr:nvSpPr>
        <xdr:cNvPr id="6" name="TextBox 5">
          <a:extLst>
            <a:ext uri="{FF2B5EF4-FFF2-40B4-BE49-F238E27FC236}">
              <a16:creationId xmlns:a16="http://schemas.microsoft.com/office/drawing/2014/main" id="{72C79578-2BF6-489F-B43D-9E3BD5F394EB}"/>
            </a:ext>
          </a:extLst>
        </xdr:cNvPr>
        <xdr:cNvSpPr txBox="1"/>
      </xdr:nvSpPr>
      <xdr:spPr>
        <a:xfrm>
          <a:off x="8709660" y="11102340"/>
          <a:ext cx="2865120" cy="464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is primary</a:t>
          </a:r>
          <a:r>
            <a:rPr lang="en-US" sz="1100" baseline="0"/>
            <a:t> result, but not final, because z offset was not reset.</a:t>
          </a:r>
          <a:endParaRPr lang="en-US" sz="1100"/>
        </a:p>
      </xdr:txBody>
    </xdr:sp>
    <xdr:clientData/>
  </xdr:twoCellAnchor>
  <xdr:twoCellAnchor editAs="oneCell">
    <xdr:from>
      <xdr:col>17</xdr:col>
      <xdr:colOff>190500</xdr:colOff>
      <xdr:row>65</xdr:row>
      <xdr:rowOff>1</xdr:rowOff>
    </xdr:from>
    <xdr:to>
      <xdr:col>24</xdr:col>
      <xdr:colOff>163652</xdr:colOff>
      <xdr:row>85</xdr:row>
      <xdr:rowOff>106680</xdr:rowOff>
    </xdr:to>
    <xdr:pic>
      <xdr:nvPicPr>
        <xdr:cNvPr id="7" name="Picture 6">
          <a:extLst>
            <a:ext uri="{FF2B5EF4-FFF2-40B4-BE49-F238E27FC236}">
              <a16:creationId xmlns:a16="http://schemas.microsoft.com/office/drawing/2014/main" id="{7F5C1065-E4D6-4075-990E-B613AC612D9E}"/>
            </a:ext>
          </a:extLst>
        </xdr:cNvPr>
        <xdr:cNvPicPr>
          <a:picLocks noChangeAspect="1"/>
        </xdr:cNvPicPr>
      </xdr:nvPicPr>
      <xdr:blipFill>
        <a:blip xmlns:r="http://schemas.openxmlformats.org/officeDocument/2006/relationships" r:embed="rId1"/>
        <a:stretch>
          <a:fillRect/>
        </a:stretch>
      </xdr:blipFill>
      <xdr:spPr>
        <a:xfrm>
          <a:off x="12184380" y="11887201"/>
          <a:ext cx="4560392" cy="3764279"/>
        </a:xfrm>
        <a:prstGeom prst="rect">
          <a:avLst/>
        </a:prstGeom>
      </xdr:spPr>
    </xdr:pic>
    <xdr:clientData/>
  </xdr:twoCellAnchor>
  <xdr:twoCellAnchor>
    <xdr:from>
      <xdr:col>0</xdr:col>
      <xdr:colOff>434340</xdr:colOff>
      <xdr:row>0</xdr:row>
      <xdr:rowOff>121920</xdr:rowOff>
    </xdr:from>
    <xdr:to>
      <xdr:col>8</xdr:col>
      <xdr:colOff>632460</xdr:colOff>
      <xdr:row>5</xdr:row>
      <xdr:rowOff>121920</xdr:rowOff>
    </xdr:to>
    <xdr:sp macro="" textlink="">
      <xdr:nvSpPr>
        <xdr:cNvPr id="8" name="TextBox 7">
          <a:extLst>
            <a:ext uri="{FF2B5EF4-FFF2-40B4-BE49-F238E27FC236}">
              <a16:creationId xmlns:a16="http://schemas.microsoft.com/office/drawing/2014/main" id="{FB7B9E86-A4C6-8AD5-904D-E8457DC4E70A}"/>
            </a:ext>
          </a:extLst>
        </xdr:cNvPr>
        <xdr:cNvSpPr txBox="1"/>
      </xdr:nvSpPr>
      <xdr:spPr>
        <a:xfrm>
          <a:off x="434340" y="121920"/>
          <a:ext cx="607314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Example</a:t>
          </a:r>
          <a:r>
            <a:rPr lang="en-US" sz="1100" baseline="0"/>
            <a:t> of </a:t>
          </a:r>
          <a:r>
            <a:rPr lang="en-US" sz="1100"/>
            <a:t>the shimming and z_trimming</a:t>
          </a:r>
          <a:r>
            <a:rPr lang="en-US" sz="1100" baseline="0"/>
            <a:t> process. Temperature for all work: E120B60</a:t>
          </a:r>
          <a:endParaRPr lang="en-US" sz="1100"/>
        </a:p>
      </xdr:txBody>
    </xdr:sp>
    <xdr:clientData/>
  </xdr:twoCellAnchor>
  <xdr:twoCellAnchor>
    <xdr:from>
      <xdr:col>12</xdr:col>
      <xdr:colOff>137160</xdr:colOff>
      <xdr:row>74</xdr:row>
      <xdr:rowOff>45720</xdr:rowOff>
    </xdr:from>
    <xdr:to>
      <xdr:col>16</xdr:col>
      <xdr:colOff>312420</xdr:colOff>
      <xdr:row>82</xdr:row>
      <xdr:rowOff>0</xdr:rowOff>
    </xdr:to>
    <xdr:sp macro="" textlink="">
      <xdr:nvSpPr>
        <xdr:cNvPr id="9" name="TextBox 8">
          <a:extLst>
            <a:ext uri="{FF2B5EF4-FFF2-40B4-BE49-F238E27FC236}">
              <a16:creationId xmlns:a16="http://schemas.microsoft.com/office/drawing/2014/main" id="{37A5E43C-23D8-07DF-47AE-3FE6CDE1D867}"/>
            </a:ext>
          </a:extLst>
        </xdr:cNvPr>
        <xdr:cNvSpPr txBox="1"/>
      </xdr:nvSpPr>
      <xdr:spPr>
        <a:xfrm>
          <a:off x="8770620" y="13578840"/>
          <a:ext cx="2865120" cy="1417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is final</a:t>
          </a:r>
          <a:r>
            <a:rPr lang="en-US" sz="1100" baseline="0"/>
            <a:t> result. Redid z offset, initially found 1.47 with heavy hand on paper, but would not produce first layers, raised z offset to 1.49, much better.  This was saved as new bed mesh profile as starting point for compensator redo after the entire reshimming on 11/10/25</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396240</xdr:colOff>
      <xdr:row>1</xdr:row>
      <xdr:rowOff>160020</xdr:rowOff>
    </xdr:from>
    <xdr:to>
      <xdr:col>11</xdr:col>
      <xdr:colOff>129540</xdr:colOff>
      <xdr:row>12</xdr:row>
      <xdr:rowOff>175260</xdr:rowOff>
    </xdr:to>
    <xdr:sp macro="" textlink="">
      <xdr:nvSpPr>
        <xdr:cNvPr id="2" name="TextBox 1">
          <a:extLst>
            <a:ext uri="{FF2B5EF4-FFF2-40B4-BE49-F238E27FC236}">
              <a16:creationId xmlns:a16="http://schemas.microsoft.com/office/drawing/2014/main" id="{2000ACD0-1DE2-E4A9-9B73-E06805F2418D}"/>
            </a:ext>
          </a:extLst>
        </xdr:cNvPr>
        <xdr:cNvSpPr txBox="1"/>
      </xdr:nvSpPr>
      <xdr:spPr>
        <a:xfrm>
          <a:off x="396240" y="342900"/>
          <a:ext cx="10965180" cy="2026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IT IS NOT NECESSARY</a:t>
          </a:r>
          <a:r>
            <a:rPr lang="en-US" sz="1100" kern="1200" baseline="0"/>
            <a:t> TO USE THIS PAGE FOR CALCULATING THE SCREW ADJUSTMENTS. IT IS HERE TO SHOW HOW THE MACROS HANDLE THE CALCULATION.</a:t>
          </a:r>
          <a:endParaRPr lang="en-US" sz="1100" kern="1200"/>
        </a:p>
        <a:p>
          <a:r>
            <a:rPr lang="en-US" sz="1100" kern="1200"/>
            <a:t>This data is just an</a:t>
          </a:r>
          <a:r>
            <a:rPr lang="en-US" sz="1100" kern="1200" baseline="0"/>
            <a:t> example of how the tramming operation is handed by the macros, and a comparison of the differences that might arise with the two methods.</a:t>
          </a:r>
          <a:endParaRPr lang="en-US" sz="1100" kern="1200"/>
        </a:p>
        <a:p>
          <a:r>
            <a:rPr lang="en-US" sz="1100" kern="1200"/>
            <a:t>Two</a:t>
          </a:r>
          <a:r>
            <a:rPr lang="en-US" sz="1100" kern="1200" baseline="0"/>
            <a:t> macros can be used: Z_TRAMMING or Z_TRAMMING_GRD.  The latter is an extensive modification of the former. Rather than only measuring two points, it measure the slope of 5 points across the X axis at three different Y axis positions around the bed center of 110 mm on the Sovol SV06. The spacing between the Y axis probe points can be adjusted in the macros.</a:t>
          </a:r>
          <a:endParaRPr lang="en-US" sz="1100" kern="1200"/>
        </a:p>
        <a:p>
          <a:r>
            <a:rPr lang="en-US" sz="1100" kern="1200"/>
            <a:t>The</a:t>
          </a:r>
          <a:r>
            <a:rPr lang="en-US" sz="1100" kern="1200" baseline="0"/>
            <a:t>  bed hold down screws ar at 33 mm and 200 from left bed edge. This corresponds to a nozzle placement of 28 mm and 195 mm.  </a:t>
          </a:r>
          <a:r>
            <a:rPr lang="en-US" sz="1100">
              <a:solidFill>
                <a:schemeClr val="dk1"/>
              </a:solidFill>
              <a:effectLst/>
              <a:latin typeface="+mn-lt"/>
              <a:ea typeface="+mn-ea"/>
              <a:cs typeface="+mn-cs"/>
            </a:rPr>
            <a:t>The left gantry screw is 45 mm to where the nozzle sits for the x coordinate reading of 0 mm. When the nozzle is at 0, the probe is at 27 mm or 27+45 = 72 from the left screw. The distance between the screw is 325 mm</a:t>
          </a:r>
        </a:p>
        <a:p>
          <a:endParaRPr lang="en-US" sz="1100" kern="1200"/>
        </a:p>
        <a:p>
          <a:r>
            <a:rPr lang="en-US" sz="1100" kern="1200"/>
            <a:t>Z</a:t>
          </a:r>
          <a:r>
            <a:rPr lang="en-US" sz="1100" kern="1200" baseline="0"/>
            <a:t> tilt is the uneveness of the bed; z tramming is the actions and operations to minimize the z tilt uneveness. </a:t>
          </a:r>
        </a:p>
        <a:p>
          <a:endParaRPr lang="en-US" sz="1100" kern="1200" baseline="0"/>
        </a:p>
        <a:p>
          <a:r>
            <a:rPr lang="en-US" sz="1100" kern="1200" baseline="0"/>
            <a:t>CCW LOWERS gantry</a:t>
          </a:r>
          <a:endParaRPr lang="en-US" sz="1100" kern="1200"/>
        </a:p>
      </xdr:txBody>
    </xdr:sp>
    <xdr:clientData/>
  </xdr:twoCellAnchor>
  <xdr:twoCellAnchor>
    <xdr:from>
      <xdr:col>15</xdr:col>
      <xdr:colOff>672253</xdr:colOff>
      <xdr:row>16</xdr:row>
      <xdr:rowOff>1</xdr:rowOff>
    </xdr:from>
    <xdr:to>
      <xdr:col>25</xdr:col>
      <xdr:colOff>434340</xdr:colOff>
      <xdr:row>43</xdr:row>
      <xdr:rowOff>152401</xdr:rowOff>
    </xdr:to>
    <xdr:graphicFrame macro="">
      <xdr:nvGraphicFramePr>
        <xdr:cNvPr id="35" name="Chart 34">
          <a:extLst>
            <a:ext uri="{FF2B5EF4-FFF2-40B4-BE49-F238E27FC236}">
              <a16:creationId xmlns:a16="http://schemas.microsoft.com/office/drawing/2014/main" id="{9E2939FE-2599-34ED-9662-1D19BD7A2D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21</xdr:col>
      <xdr:colOff>296333</xdr:colOff>
      <xdr:row>74</xdr:row>
      <xdr:rowOff>0</xdr:rowOff>
    </xdr:from>
    <xdr:ext cx="184731" cy="264560"/>
    <xdr:sp macro="" textlink="">
      <xdr:nvSpPr>
        <xdr:cNvPr id="8" name="TextBox 7">
          <a:extLst>
            <a:ext uri="{FF2B5EF4-FFF2-40B4-BE49-F238E27FC236}">
              <a16:creationId xmlns:a16="http://schemas.microsoft.com/office/drawing/2014/main" id="{B4965F17-F0D2-62EF-7CD2-D633A4932674}"/>
            </a:ext>
          </a:extLst>
        </xdr:cNvPr>
        <xdr:cNvSpPr txBox="1"/>
      </xdr:nvSpPr>
      <xdr:spPr>
        <a:xfrm>
          <a:off x="19473333" y="6376246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9</xdr:col>
      <xdr:colOff>441960</xdr:colOff>
      <xdr:row>66</xdr:row>
      <xdr:rowOff>165946</xdr:rowOff>
    </xdr:from>
    <xdr:to>
      <xdr:col>16</xdr:col>
      <xdr:colOff>382693</xdr:colOff>
      <xdr:row>73</xdr:row>
      <xdr:rowOff>152400</xdr:rowOff>
    </xdr:to>
    <xdr:sp macro="" textlink="">
      <xdr:nvSpPr>
        <xdr:cNvPr id="22" name="TextBox 21">
          <a:extLst>
            <a:ext uri="{FF2B5EF4-FFF2-40B4-BE49-F238E27FC236}">
              <a16:creationId xmlns:a16="http://schemas.microsoft.com/office/drawing/2014/main" id="{044D8937-3C02-B12D-031E-95E171BCAD26}"/>
            </a:ext>
          </a:extLst>
        </xdr:cNvPr>
        <xdr:cNvSpPr txBox="1"/>
      </xdr:nvSpPr>
      <xdr:spPr>
        <a:xfrm>
          <a:off x="8351520" y="12236026"/>
          <a:ext cx="6844453" cy="1266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If</a:t>
          </a:r>
          <a:r>
            <a:rPr lang="en-US" sz="1100" b="1" baseline="0"/>
            <a:t> variation is greater than 0.07 min needs correction. A NEGATIVE SLOPE MEANS THE BED RELATIVE TO THE GANTRY BAR HAS A GRATER GAP THAN THE RIGHT SIDE. TURNING THE RIGHT Z SCREW SCREW COUNTER CLOCKWISE LOWERS THE GANTRY BAR, ON THAT SIDE WHICH LOOKS LIKE THE RIGHT SIDE OF THE BED HAS BEEN RAISED.  THIS HAS THE ACTION OF CAUSING NOZZLE TO SMOOSH EXTRUDED LINES FILLING IN THE SPACE BETWEEN LINES. RAISING THE GANTRY  BAR (CW SCREW ROTATION) LOWERS BED ON THAT SIDE; CAUSES NOZZLE TO REDUC BLOBBING AND IF OVERDONE CAUSES LOSS IN INFILLING BETWEEN EXTRUDED LINES.</a:t>
          </a:r>
        </a:p>
      </xdr:txBody>
    </xdr:sp>
    <xdr:clientData/>
  </xdr:twoCellAnchor>
  <xdr:twoCellAnchor>
    <xdr:from>
      <xdr:col>24</xdr:col>
      <xdr:colOff>601980</xdr:colOff>
      <xdr:row>14</xdr:row>
      <xdr:rowOff>0</xdr:rowOff>
    </xdr:from>
    <xdr:to>
      <xdr:col>31</xdr:col>
      <xdr:colOff>0</xdr:colOff>
      <xdr:row>17</xdr:row>
      <xdr:rowOff>38100</xdr:rowOff>
    </xdr:to>
    <xdr:graphicFrame macro="">
      <xdr:nvGraphicFramePr>
        <xdr:cNvPr id="12" name="Chart 11">
          <a:extLst>
            <a:ext uri="{FF2B5EF4-FFF2-40B4-BE49-F238E27FC236}">
              <a16:creationId xmlns:a16="http://schemas.microsoft.com/office/drawing/2014/main" id="{D543E0FC-2B29-F0C4-FA7A-ACBECE0ACD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243841</xdr:colOff>
      <xdr:row>20</xdr:row>
      <xdr:rowOff>15240</xdr:rowOff>
    </xdr:from>
    <xdr:to>
      <xdr:col>34</xdr:col>
      <xdr:colOff>358141</xdr:colOff>
      <xdr:row>40</xdr:row>
      <xdr:rowOff>154941</xdr:rowOff>
    </xdr:to>
    <xdr:graphicFrame macro="">
      <xdr:nvGraphicFramePr>
        <xdr:cNvPr id="10" name="Chart 9">
          <a:extLst>
            <a:ext uri="{FF2B5EF4-FFF2-40B4-BE49-F238E27FC236}">
              <a16:creationId xmlns:a16="http://schemas.microsoft.com/office/drawing/2014/main" id="{EF3F8D06-413D-4132-932E-76E5573E8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243840</xdr:colOff>
      <xdr:row>94</xdr:row>
      <xdr:rowOff>68580</xdr:rowOff>
    </xdr:from>
    <xdr:to>
      <xdr:col>20</xdr:col>
      <xdr:colOff>106680</xdr:colOff>
      <xdr:row>104</xdr:row>
      <xdr:rowOff>167640</xdr:rowOff>
    </xdr:to>
    <xdr:sp macro="" textlink="">
      <xdr:nvSpPr>
        <xdr:cNvPr id="3" name="TextBox 2">
          <a:extLst>
            <a:ext uri="{FF2B5EF4-FFF2-40B4-BE49-F238E27FC236}">
              <a16:creationId xmlns:a16="http://schemas.microsoft.com/office/drawing/2014/main" id="{958E473E-E3FF-9814-CC3E-DEB9EFD66F59}"/>
            </a:ext>
          </a:extLst>
        </xdr:cNvPr>
        <xdr:cNvSpPr txBox="1"/>
      </xdr:nvSpPr>
      <xdr:spPr>
        <a:xfrm>
          <a:off x="13144500" y="27134820"/>
          <a:ext cx="5669280" cy="19278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The probe sets a trigger distance based on the trigger distance of Homing.</a:t>
          </a:r>
          <a:r>
            <a:rPr lang="en-US" sz="1100" b="0" i="0" u="none" strike="noStrike" baseline="0">
              <a:solidFill>
                <a:schemeClr val="dk1"/>
              </a:solidFill>
              <a:effectLst/>
              <a:latin typeface="+mn-lt"/>
              <a:ea typeface="+mn-ea"/>
              <a:cs typeface="+mn-cs"/>
            </a:rPr>
            <a:t> DOES THAT MEAN A A TRIGGER DISTANCE OF 0 IS SAME AS HOMING DISTANCE? A lower value means the probe was triggered WHEN? DID IT HAVE TO DROP MORE OR STOP EARLY??????</a:t>
          </a:r>
          <a:r>
            <a:rPr lang="en-US" sz="1100" b="0" i="0" u="none" strike="noStrike">
              <a:solidFill>
                <a:schemeClr val="dk1"/>
              </a:solidFill>
              <a:effectLst/>
              <a:latin typeface="+mn-lt"/>
              <a:ea typeface="+mn-ea"/>
              <a:cs typeface="+mn-cs"/>
            </a:rPr>
            <a:t> bed is too low relative to norm, need to decrease the distance between gantry and bed on that side, which means turn CCW</a:t>
          </a:r>
          <a:r>
            <a:rPr lang="en-US"/>
            <a:t> </a:t>
          </a:r>
        </a:p>
        <a:p>
          <a:endParaRPr lang="en-US" sz="1100"/>
        </a:p>
        <a:p>
          <a:r>
            <a:rPr lang="en-US" sz="1100"/>
            <a:t>HIGHER Z MEANS</a:t>
          </a:r>
          <a:r>
            <a:rPr lang="en-US" sz="1100" baseline="0"/>
            <a:t> TO LOWER </a:t>
          </a:r>
          <a:r>
            <a:rPr lang="en-US" sz="1100"/>
            <a:t>LOWER BED, WHICH MEANS RAISE GANTRY = CW</a:t>
          </a:r>
          <a:r>
            <a:rPr lang="en-US" sz="1100" baseline="0"/>
            <a:t> SO??? HIGER Z MEANS BED TOO HIGH ON A SIDE.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38100</xdr:rowOff>
    </xdr:from>
    <xdr:to>
      <xdr:col>18</xdr:col>
      <xdr:colOff>358140</xdr:colOff>
      <xdr:row>16</xdr:row>
      <xdr:rowOff>152400</xdr:rowOff>
    </xdr:to>
    <xdr:sp macro="" textlink="">
      <xdr:nvSpPr>
        <xdr:cNvPr id="2" name="TextBox 1">
          <a:extLst>
            <a:ext uri="{FF2B5EF4-FFF2-40B4-BE49-F238E27FC236}">
              <a16:creationId xmlns:a16="http://schemas.microsoft.com/office/drawing/2014/main" id="{C4AB981D-60CE-7DFD-44EC-13DC18104CFD}"/>
            </a:ext>
          </a:extLst>
        </xdr:cNvPr>
        <xdr:cNvSpPr txBox="1"/>
      </xdr:nvSpPr>
      <xdr:spPr>
        <a:xfrm>
          <a:off x="160020" y="38100"/>
          <a:ext cx="11170920" cy="3040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CALCULATE THE NEW BED MESH TO BE INSERTED INTO PRINTER.CFG</a:t>
          </a:r>
        </a:p>
        <a:p>
          <a:endParaRPr lang="en-US" sz="1100" baseline="0"/>
        </a:p>
        <a:p>
          <a:r>
            <a:rPr lang="en-US" sz="1100" b="1" baseline="0"/>
            <a:t>To compensate for whatever physical, mechanical or electronic problems cause a consistent deviation of the bed mesh to produce good first layer prints several processes must be performed:</a:t>
          </a:r>
        </a:p>
        <a:p>
          <a:r>
            <a:rPr lang="en-US" sz="1100" b="1" baseline="0"/>
            <a:t>1. The bed itself should be as level as possible with screw or shim adjustments. </a:t>
          </a:r>
        </a:p>
        <a:p>
          <a:r>
            <a:rPr lang="en-US" sz="1100" b="1" baseline="0"/>
            <a:t>2. Z_tramming must be peformed using either the Z_TRAMMING or the Z_TRAMMING_GRID macros. Which to use depends on how even the bed is. It is important to try and achieve the same bed level. This is usually characterized by the standard deviation of the bed values being the same or very similar.</a:t>
          </a:r>
        </a:p>
        <a:p>
          <a:r>
            <a:rPr lang="en-US" sz="1100" b="1" baseline="0"/>
            <a:t>3. Set the z_offset using paper. Run bed to see how far off.</a:t>
          </a:r>
        </a:p>
        <a:p>
          <a:r>
            <a:rPr lang="en-US" sz="1100" b="1" baseline="0"/>
            <a:t>3. A compensator matrix needs to  be established: this process can be simple or comples. Sometimes the X axis twist method is sufficient. If so, there is no need for the process outlined here. Establishing the compensator matrix may or may not be trivial. Read the documentation for how this can be done in a worst case.  </a:t>
          </a:r>
          <a:r>
            <a:rPr lang="en-US" sz="1100" b="1" baseline="0">
              <a:solidFill>
                <a:schemeClr val="dk1"/>
              </a:solidFill>
              <a:effectLst/>
              <a:latin typeface="+mn-lt"/>
              <a:ea typeface="+mn-ea"/>
              <a:cs typeface="+mn-cs"/>
            </a:rPr>
            <a:t>Once established, the compensator matrix does not need to  be changed. </a:t>
          </a:r>
          <a:r>
            <a:rPr lang="en-US" sz="1100" b="1" baseline="0"/>
            <a:t>The process here will generate the text block of compensated z values that can be substituted for the bed mesh matrix in printer.cfg. </a:t>
          </a:r>
          <a:r>
            <a:rPr lang="en-US" sz="1100" baseline="0"/>
            <a:t> </a:t>
          </a:r>
          <a:r>
            <a:rPr lang="en-US" sz="1100" b="1" baseline="0"/>
            <a:t>If the Z 0fset is increased, all the bed values should be decreased by that amount. There is a inverse relationship between Z offset and bed mesh values.</a:t>
          </a:r>
        </a:p>
        <a:p>
          <a:r>
            <a:rPr lang="en-US" sz="1100" b="1" baseline="0"/>
            <a:t>4. To generate a compensated bed mesh, place a</a:t>
          </a:r>
        </a:p>
        <a:p>
          <a:r>
            <a:rPr lang="en-US" sz="1100" b="1" baseline="0"/>
            <a:t>Matrix at A24 is from [Reshim] copied here </a:t>
          </a:r>
        </a:p>
        <a:p>
          <a:r>
            <a:rPr lang="en-US" sz="1100" b="1" baseline="0"/>
            <a:t>Z OFFSET AT I23 MUST BE SUPPLIED.</a:t>
          </a:r>
          <a:endParaRPr lang="en-US" sz="1100" b="1"/>
        </a:p>
      </xdr:txBody>
    </xdr:sp>
    <xdr:clientData/>
  </xdr:twoCellAnchor>
  <xdr:twoCellAnchor>
    <xdr:from>
      <xdr:col>12</xdr:col>
      <xdr:colOff>0</xdr:colOff>
      <xdr:row>23</xdr:row>
      <xdr:rowOff>0</xdr:rowOff>
    </xdr:from>
    <xdr:to>
      <xdr:col>17</xdr:col>
      <xdr:colOff>38100</xdr:colOff>
      <xdr:row>34</xdr:row>
      <xdr:rowOff>175260</xdr:rowOff>
    </xdr:to>
    <xdr:sp macro="" textlink="">
      <xdr:nvSpPr>
        <xdr:cNvPr id="3" name="TextBox 2">
          <a:extLst>
            <a:ext uri="{FF2B5EF4-FFF2-40B4-BE49-F238E27FC236}">
              <a16:creationId xmlns:a16="http://schemas.microsoft.com/office/drawing/2014/main" id="{14A78922-B481-C3C2-1CFE-34E455B6400B}"/>
            </a:ext>
          </a:extLst>
        </xdr:cNvPr>
        <xdr:cNvSpPr txBox="1"/>
      </xdr:nvSpPr>
      <xdr:spPr>
        <a:xfrm>
          <a:off x="8130540" y="4206240"/>
          <a:ext cx="3581400" cy="2186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Place</a:t>
          </a:r>
          <a:r>
            <a:rPr lang="en-US" sz="1100" baseline="0"/>
            <a:t> the screw adjusted, Z trammed bed from [Reshimming] here.  If not desirable to use data from {Reshimming] get the mesh using BED_MESH_OUTPUT PGP=0,  or from the bed mesh saved in the printer.cfg file. in either case use DATA|TEXT TP COLUMNS to convert the text data to numbers. </a:t>
          </a:r>
          <a:endParaRPr lang="en-US" sz="1100"/>
        </a:p>
      </xdr:txBody>
    </xdr:sp>
    <xdr:clientData/>
  </xdr:twoCellAnchor>
  <xdr:twoCellAnchor>
    <xdr:from>
      <xdr:col>12</xdr:col>
      <xdr:colOff>22860</xdr:colOff>
      <xdr:row>40</xdr:row>
      <xdr:rowOff>38100</xdr:rowOff>
    </xdr:from>
    <xdr:to>
      <xdr:col>17</xdr:col>
      <xdr:colOff>60960</xdr:colOff>
      <xdr:row>48</xdr:row>
      <xdr:rowOff>30480</xdr:rowOff>
    </xdr:to>
    <xdr:sp macro="" textlink="">
      <xdr:nvSpPr>
        <xdr:cNvPr id="6" name="TextBox 5">
          <a:extLst>
            <a:ext uri="{FF2B5EF4-FFF2-40B4-BE49-F238E27FC236}">
              <a16:creationId xmlns:a16="http://schemas.microsoft.com/office/drawing/2014/main" id="{85DD6E2D-A122-0EB6-8FAF-B409601B0E9F}"/>
            </a:ext>
          </a:extLst>
        </xdr:cNvPr>
        <xdr:cNvSpPr txBox="1"/>
      </xdr:nvSpPr>
      <xdr:spPr>
        <a:xfrm>
          <a:off x="8039100" y="12108180"/>
          <a:ext cx="3581400" cy="1455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is the normalized matrix at the shown z</a:t>
          </a:r>
          <a:r>
            <a:rPr lang="en-US" sz="1100" baseline="0"/>
            <a:t> offset. Changing the offset  in cell I65 will change the entire matrix by the difference. THE NEW Z OFFSET MUST BE REGISTERED IN THE PRINTER.CFG SECTION THAT ALSO HOLDS THE BED MESH MATRIX. iF THE DIFFERENCE HERE IS POSITIVE INCREMENT, THE DIFFERENCE IN THE .CFG WILL BE A NEGATIVE DECREMENT.</a:t>
          </a:r>
          <a:endParaRPr lang="en-US" sz="1100"/>
        </a:p>
      </xdr:txBody>
    </xdr:sp>
    <xdr:clientData/>
  </xdr:twoCellAnchor>
  <xdr:twoCellAnchor>
    <xdr:from>
      <xdr:col>11</xdr:col>
      <xdr:colOff>563880</xdr:colOff>
      <xdr:row>57</xdr:row>
      <xdr:rowOff>7620</xdr:rowOff>
    </xdr:from>
    <xdr:to>
      <xdr:col>16</xdr:col>
      <xdr:colOff>685800</xdr:colOff>
      <xdr:row>60</xdr:row>
      <xdr:rowOff>83820</xdr:rowOff>
    </xdr:to>
    <xdr:sp macro="" textlink="">
      <xdr:nvSpPr>
        <xdr:cNvPr id="7" name="TextBox 6">
          <a:extLst>
            <a:ext uri="{FF2B5EF4-FFF2-40B4-BE49-F238E27FC236}">
              <a16:creationId xmlns:a16="http://schemas.microsoft.com/office/drawing/2014/main" id="{4C96F95B-0C22-ADF8-0B80-96D062EA7790}"/>
            </a:ext>
          </a:extLst>
        </xdr:cNvPr>
        <xdr:cNvSpPr txBox="1"/>
      </xdr:nvSpPr>
      <xdr:spPr>
        <a:xfrm>
          <a:off x="8084820" y="10248900"/>
          <a:ext cx="3581400" cy="624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is the compensated  bed mesh starting at A15 in [Compensator]</a:t>
          </a:r>
          <a:endParaRPr lang="en-US" sz="1100"/>
        </a:p>
      </xdr:txBody>
    </xdr:sp>
    <xdr:clientData/>
  </xdr:twoCellAnchor>
  <xdr:twoCellAnchor>
    <xdr:from>
      <xdr:col>12</xdr:col>
      <xdr:colOff>45720</xdr:colOff>
      <xdr:row>70</xdr:row>
      <xdr:rowOff>7620</xdr:rowOff>
    </xdr:from>
    <xdr:to>
      <xdr:col>17</xdr:col>
      <xdr:colOff>83820</xdr:colOff>
      <xdr:row>73</xdr:row>
      <xdr:rowOff>53340</xdr:rowOff>
    </xdr:to>
    <xdr:sp macro="" textlink="">
      <xdr:nvSpPr>
        <xdr:cNvPr id="9" name="TextBox 8">
          <a:extLst>
            <a:ext uri="{FF2B5EF4-FFF2-40B4-BE49-F238E27FC236}">
              <a16:creationId xmlns:a16="http://schemas.microsoft.com/office/drawing/2014/main" id="{3D31FCA4-AC2C-B07C-4009-EC87F31F4B3C}"/>
            </a:ext>
          </a:extLst>
        </xdr:cNvPr>
        <xdr:cNvSpPr txBox="1"/>
      </xdr:nvSpPr>
      <xdr:spPr>
        <a:xfrm>
          <a:off x="8176260" y="12626340"/>
          <a:ext cx="3581400" cy="594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is the compensated  bed mesh as the sum of the meshes at A41 and A55.</a:t>
          </a:r>
          <a:endParaRPr lang="en-US" sz="1100"/>
        </a:p>
      </xdr:txBody>
    </xdr:sp>
    <xdr:clientData/>
  </xdr:twoCellAnchor>
  <xdr:twoCellAnchor>
    <xdr:from>
      <xdr:col>11</xdr:col>
      <xdr:colOff>556260</xdr:colOff>
      <xdr:row>84</xdr:row>
      <xdr:rowOff>53340</xdr:rowOff>
    </xdr:from>
    <xdr:to>
      <xdr:col>16</xdr:col>
      <xdr:colOff>678180</xdr:colOff>
      <xdr:row>87</xdr:row>
      <xdr:rowOff>99060</xdr:rowOff>
    </xdr:to>
    <xdr:sp macro="" textlink="">
      <xdr:nvSpPr>
        <xdr:cNvPr id="4" name="TextBox 3">
          <a:extLst>
            <a:ext uri="{FF2B5EF4-FFF2-40B4-BE49-F238E27FC236}">
              <a16:creationId xmlns:a16="http://schemas.microsoft.com/office/drawing/2014/main" id="{3195D837-17D7-44F9-1B5E-8EB2B9A0C516}"/>
            </a:ext>
          </a:extLst>
        </xdr:cNvPr>
        <xdr:cNvSpPr txBox="1"/>
      </xdr:nvSpPr>
      <xdr:spPr>
        <a:xfrm>
          <a:off x="8077200" y="15232380"/>
          <a:ext cx="3581400" cy="594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is the compensated  bed mesh at A69. multiplied by -1, because this is the how it is stored in printer.cfg</a:t>
          </a:r>
        </a:p>
        <a:p>
          <a:endParaRPr lang="en-US" sz="1100"/>
        </a:p>
      </xdr:txBody>
    </xdr:sp>
    <xdr:clientData/>
  </xdr:twoCellAnchor>
  <xdr:twoCellAnchor>
    <xdr:from>
      <xdr:col>12</xdr:col>
      <xdr:colOff>205740</xdr:colOff>
      <xdr:row>93</xdr:row>
      <xdr:rowOff>106680</xdr:rowOff>
    </xdr:from>
    <xdr:to>
      <xdr:col>17</xdr:col>
      <xdr:colOff>243840</xdr:colOff>
      <xdr:row>99</xdr:row>
      <xdr:rowOff>15240</xdr:rowOff>
    </xdr:to>
    <xdr:sp macro="" textlink="">
      <xdr:nvSpPr>
        <xdr:cNvPr id="5" name="TextBox 4">
          <a:extLst>
            <a:ext uri="{FF2B5EF4-FFF2-40B4-BE49-F238E27FC236}">
              <a16:creationId xmlns:a16="http://schemas.microsoft.com/office/drawing/2014/main" id="{55C8D241-2B5D-EDC6-BCA0-369D65AAB81A}"/>
            </a:ext>
          </a:extLst>
        </xdr:cNvPr>
        <xdr:cNvSpPr txBox="1"/>
      </xdr:nvSpPr>
      <xdr:spPr>
        <a:xfrm>
          <a:off x="8336280" y="16931640"/>
          <a:ext cx="3581400" cy="1005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This</a:t>
          </a:r>
          <a:r>
            <a:rPr lang="en-US" sz="1100" baseline="0">
              <a:solidFill>
                <a:schemeClr val="dk1"/>
              </a:solidFill>
              <a:effectLst/>
              <a:latin typeface="+mn-lt"/>
              <a:ea typeface="+mn-ea"/>
              <a:cs typeface="+mn-cs"/>
            </a:rPr>
            <a:t> is final text block that must replace the existing  bed mesh text block in printer.cfg. Copy the column range from B95 to B104. Open the print.cfg file in mainsail. and substitue this data for what is in the file, exactly as it looks in the cfg file, and delete the old data.</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327660</xdr:colOff>
      <xdr:row>0</xdr:row>
      <xdr:rowOff>129540</xdr:rowOff>
    </xdr:from>
    <xdr:to>
      <xdr:col>18</xdr:col>
      <xdr:colOff>0</xdr:colOff>
      <xdr:row>6</xdr:row>
      <xdr:rowOff>38100</xdr:rowOff>
    </xdr:to>
    <xdr:sp macro="" textlink="">
      <xdr:nvSpPr>
        <xdr:cNvPr id="2" name="TextBox 1">
          <a:extLst>
            <a:ext uri="{FF2B5EF4-FFF2-40B4-BE49-F238E27FC236}">
              <a16:creationId xmlns:a16="http://schemas.microsoft.com/office/drawing/2014/main" id="{180A4FE8-1F05-6FAD-95F7-422445758FF0}"/>
            </a:ext>
          </a:extLst>
        </xdr:cNvPr>
        <xdr:cNvSpPr txBox="1"/>
      </xdr:nvSpPr>
      <xdr:spPr>
        <a:xfrm>
          <a:off x="327660" y="129540"/>
          <a:ext cx="9448800" cy="1005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The matrix valuesat A15 are not offset dependent, they are absolute values.</a:t>
          </a:r>
        </a:p>
        <a:p>
          <a:r>
            <a:rPr lang="en-US" sz="1100"/>
            <a:t>This</a:t>
          </a:r>
          <a:r>
            <a:rPr lang="en-US" sz="1100" baseline="0"/>
            <a:t> is the worksheet used to get the proper adjustments to the inductive bed mesh. Before adding or subtracting values in the A15 matrix, copy the original to N15 to use as a running reference. Changing many values in the A15 matrix can get confusing as to what was changed.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236220</xdr:colOff>
      <xdr:row>0</xdr:row>
      <xdr:rowOff>121920</xdr:rowOff>
    </xdr:from>
    <xdr:to>
      <xdr:col>12</xdr:col>
      <xdr:colOff>388620</xdr:colOff>
      <xdr:row>5</xdr:row>
      <xdr:rowOff>99060</xdr:rowOff>
    </xdr:to>
    <xdr:sp macro="" textlink="">
      <xdr:nvSpPr>
        <xdr:cNvPr id="3" name="TextBox 2">
          <a:extLst>
            <a:ext uri="{FF2B5EF4-FFF2-40B4-BE49-F238E27FC236}">
              <a16:creationId xmlns:a16="http://schemas.microsoft.com/office/drawing/2014/main" id="{89314686-4913-498E-B427-C22AE23C3B5A}"/>
            </a:ext>
          </a:extLst>
        </xdr:cNvPr>
        <xdr:cNvSpPr txBox="1"/>
      </xdr:nvSpPr>
      <xdr:spPr>
        <a:xfrm>
          <a:off x="236220" y="121920"/>
          <a:ext cx="7932420" cy="891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This worksheet is not directly used in generating the compensator, but if properly substituted with values from other worksheets can show  some trends.</a:t>
          </a:r>
        </a:p>
      </xdr:txBody>
    </xdr:sp>
    <xdr:clientData/>
  </xdr:twoCellAnchor>
  <xdr:twoCellAnchor>
    <xdr:from>
      <xdr:col>12</xdr:col>
      <xdr:colOff>327660</xdr:colOff>
      <xdr:row>34</xdr:row>
      <xdr:rowOff>102870</xdr:rowOff>
    </xdr:from>
    <xdr:to>
      <xdr:col>21</xdr:col>
      <xdr:colOff>144780</xdr:colOff>
      <xdr:row>51</xdr:row>
      <xdr:rowOff>30480</xdr:rowOff>
    </xdr:to>
    <xdr:graphicFrame macro="">
      <xdr:nvGraphicFramePr>
        <xdr:cNvPr id="10" name="Chart 9">
          <a:extLst>
            <a:ext uri="{FF2B5EF4-FFF2-40B4-BE49-F238E27FC236}">
              <a16:creationId xmlns:a16="http://schemas.microsoft.com/office/drawing/2014/main" id="{C1027B87-26F9-29B0-E802-3A3A1CBAC9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251460</xdr:colOff>
      <xdr:row>18</xdr:row>
      <xdr:rowOff>3810</xdr:rowOff>
    </xdr:from>
    <xdr:to>
      <xdr:col>21</xdr:col>
      <xdr:colOff>83820</xdr:colOff>
      <xdr:row>32</xdr:row>
      <xdr:rowOff>160020</xdr:rowOff>
    </xdr:to>
    <xdr:graphicFrame macro="">
      <xdr:nvGraphicFramePr>
        <xdr:cNvPr id="5" name="Chart 4">
          <a:extLst>
            <a:ext uri="{FF2B5EF4-FFF2-40B4-BE49-F238E27FC236}">
              <a16:creationId xmlns:a16="http://schemas.microsoft.com/office/drawing/2014/main" id="{08494262-C129-100A-ECB3-79760CF442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220980</xdr:colOff>
      <xdr:row>53</xdr:row>
      <xdr:rowOff>60960</xdr:rowOff>
    </xdr:from>
    <xdr:to>
      <xdr:col>21</xdr:col>
      <xdr:colOff>152400</xdr:colOff>
      <xdr:row>71</xdr:row>
      <xdr:rowOff>7620</xdr:rowOff>
    </xdr:to>
    <xdr:graphicFrame macro="">
      <xdr:nvGraphicFramePr>
        <xdr:cNvPr id="9" name="Chart 8">
          <a:extLst>
            <a:ext uri="{FF2B5EF4-FFF2-40B4-BE49-F238E27FC236}">
              <a16:creationId xmlns:a16="http://schemas.microsoft.com/office/drawing/2014/main" id="{953AB8F5-0159-72F3-AA9F-9AB467045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167640</xdr:colOff>
      <xdr:row>1</xdr:row>
      <xdr:rowOff>91440</xdr:rowOff>
    </xdr:from>
    <xdr:to>
      <xdr:col>11</xdr:col>
      <xdr:colOff>586740</xdr:colOff>
      <xdr:row>8</xdr:row>
      <xdr:rowOff>99060</xdr:rowOff>
    </xdr:to>
    <xdr:sp macro="" textlink="">
      <xdr:nvSpPr>
        <xdr:cNvPr id="2" name="TextBox 1">
          <a:extLst>
            <a:ext uri="{FF2B5EF4-FFF2-40B4-BE49-F238E27FC236}">
              <a16:creationId xmlns:a16="http://schemas.microsoft.com/office/drawing/2014/main" id="{018AB9C5-2B53-4650-A265-87C2A7934172}"/>
            </a:ext>
          </a:extLst>
        </xdr:cNvPr>
        <xdr:cNvSpPr txBox="1"/>
      </xdr:nvSpPr>
      <xdr:spPr>
        <a:xfrm>
          <a:off x="167640" y="274320"/>
          <a:ext cx="7155180" cy="1287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Data</a:t>
          </a:r>
          <a:r>
            <a:rPr lang="en-US" sz="1100" baseline="0"/>
            <a:t> is from BED_MESH_OUTPUT PGP=1 in mainsail. The data on final manipulatiof  [PROBE_POINTS] copied here from manipulations on original text probe data. and converted to Column data with Data|Text to Columns. Columns F to I call the =UNIQUE funcition to condense the data. Column J and J are the differences between the each row, finally averaging the column, but not the first row.  The Probe x and y points are what are desired for bed mesh manipulation.</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167640</xdr:colOff>
      <xdr:row>3</xdr:row>
      <xdr:rowOff>129540</xdr:rowOff>
    </xdr:from>
    <xdr:to>
      <xdr:col>19</xdr:col>
      <xdr:colOff>571500</xdr:colOff>
      <xdr:row>23</xdr:row>
      <xdr:rowOff>7620</xdr:rowOff>
    </xdr:to>
    <xdr:sp macro="" textlink="">
      <xdr:nvSpPr>
        <xdr:cNvPr id="2" name="TextBox 1">
          <a:extLst>
            <a:ext uri="{FF2B5EF4-FFF2-40B4-BE49-F238E27FC236}">
              <a16:creationId xmlns:a16="http://schemas.microsoft.com/office/drawing/2014/main" id="{2BF29A2F-0B8C-4788-5F19-8650ED9794BE}"/>
            </a:ext>
          </a:extLst>
        </xdr:cNvPr>
        <xdr:cNvSpPr txBox="1"/>
      </xdr:nvSpPr>
      <xdr:spPr>
        <a:xfrm>
          <a:off x="5044440" y="678180"/>
          <a:ext cx="7109460" cy="3535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n-US" sz="1100">
              <a:solidFill>
                <a:schemeClr val="dk1"/>
              </a:solidFill>
              <a:effectLst/>
              <a:latin typeface="+mn-lt"/>
              <a:ea typeface="+mn-ea"/>
              <a:cs typeface="+mn-cs"/>
            </a:rPr>
            <a:t>In mainsail, run the Klipper macro, BED_MESH_OUTPUT PGP=1. Copy the entire output data here. Separate the data, either on the same worksheet or to separate worksheets, with the bed mesh position data in one area, and the bed mesh z values matrix in another area. </a:t>
          </a:r>
        </a:p>
        <a:p>
          <a:pPr lvl="0"/>
          <a:endParaRPr lang="en-US" sz="1050">
            <a:solidFill>
              <a:schemeClr val="dk1"/>
            </a:solidFill>
            <a:effectLst/>
            <a:latin typeface="+mn-lt"/>
            <a:ea typeface="+mn-ea"/>
            <a:cs typeface="+mn-cs"/>
          </a:endParaRPr>
        </a:p>
        <a:p>
          <a:pPr lvl="0"/>
          <a:r>
            <a:rPr lang="en-US" sz="1100">
              <a:solidFill>
                <a:schemeClr val="dk1"/>
              </a:solidFill>
              <a:effectLst/>
              <a:latin typeface="+mn-lt"/>
              <a:ea typeface="+mn-ea"/>
              <a:cs typeface="+mn-cs"/>
            </a:rPr>
            <a:t>Convert both sets of text data to cells</a:t>
          </a:r>
        </a:p>
        <a:p>
          <a:pPr lvl="0"/>
          <a:endParaRPr lang="en-US" sz="1050">
            <a:solidFill>
              <a:schemeClr val="dk1"/>
            </a:solidFill>
            <a:effectLst/>
            <a:latin typeface="+mn-lt"/>
            <a:ea typeface="+mn-ea"/>
            <a:cs typeface="+mn-cs"/>
          </a:endParaRPr>
        </a:p>
        <a:p>
          <a:pPr lvl="0"/>
          <a:r>
            <a:rPr lang="en-US" sz="1100">
              <a:solidFill>
                <a:schemeClr val="dk1"/>
              </a:solidFill>
              <a:effectLst/>
              <a:latin typeface="+mn-lt"/>
              <a:ea typeface="+mn-ea"/>
              <a:cs typeface="+mn-cs"/>
            </a:rPr>
            <a:t>Highlight column with the probe text, Use Data| Text To Column function with space, comma and other “|” delimiters to convert the text to cells.</a:t>
          </a:r>
          <a:r>
            <a:rPr lang="en-US" sz="1100" baseline="0">
              <a:solidFill>
                <a:schemeClr val="dk1"/>
              </a:solidFill>
              <a:effectLst/>
              <a:latin typeface="+mn-lt"/>
              <a:ea typeface="+mn-ea"/>
              <a:cs typeface="+mn-cs"/>
            </a:rPr>
            <a:t> (Data shown in here is treated differently. Has bee filtered to remove all timestamps info, but only removed spaces and commas. An Index column has been added.)</a:t>
          </a:r>
          <a:endParaRPr lang="en-US" sz="1050">
            <a:solidFill>
              <a:schemeClr val="dk1"/>
            </a:solidFill>
            <a:effectLst/>
            <a:latin typeface="+mn-lt"/>
            <a:ea typeface="+mn-ea"/>
            <a:cs typeface="+mn-cs"/>
          </a:endParaRP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Delete the first column of time stamps</a:t>
          </a:r>
          <a:endParaRPr lang="en-US" sz="1050">
            <a:solidFill>
              <a:schemeClr val="dk1"/>
            </a:solidFill>
            <a:effectLst/>
            <a:latin typeface="+mn-lt"/>
            <a:ea typeface="+mn-ea"/>
            <a:cs typeface="+mn-cs"/>
          </a:endParaRP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Filter the entire text positions column to remove residual time stamp text. Copy the filtered data below the existing data and clear the filter on the original data. If desired, the original rows can be entirely deleted at this point,. </a:t>
          </a:r>
          <a:endParaRPr lang="en-US" sz="1050">
            <a:solidFill>
              <a:schemeClr val="dk1"/>
            </a:solidFill>
            <a:effectLst/>
            <a:latin typeface="+mn-lt"/>
            <a:ea typeface="+mn-ea"/>
            <a:cs typeface="+mn-cs"/>
          </a:endParaRP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On the newly filtered data, use Home|Find/replace to replace the remaining “(“ and “)” with nothing.</a:t>
          </a:r>
          <a:endParaRPr lang="en-US" sz="1050">
            <a:solidFill>
              <a:schemeClr val="dk1"/>
            </a:solidFill>
            <a:effectLst/>
            <a:latin typeface="+mn-lt"/>
            <a:ea typeface="+mn-ea"/>
            <a:cs typeface="+mn-cs"/>
          </a:endParaRP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Highlight all 4 columns; sort smallest to largest by col A, add level and sort by Column B. </a:t>
          </a:r>
          <a:endParaRPr lang="en-US" sz="1050">
            <a:solidFill>
              <a:schemeClr val="dk1"/>
            </a:solidFill>
            <a:effectLst/>
            <a:latin typeface="+mn-lt"/>
            <a:ea typeface="+mn-ea"/>
            <a:cs typeface="+mn-cs"/>
          </a:endParaRP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 dockstate="right" visibility="0" width="438"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1FCE7A54-5E3A-4608-BA66-19741CFE6A84}">
  <we:reference id="wa104100404" version="3.0.0.1" store="en-US" storeType="OMEX"/>
  <we:alternateReferences>
    <we:reference id="wa104100404" version="3.0.0.1" store="WA104100404" storeType="OMEX"/>
  </we:alternateReferences>
  <we:properties>
    <we:property name="UniqueID" value="&quot;20256141752505179443&quot;"/>
  </we:properties>
  <we:bindings/>
  <we:snapshot xmlns:r="http://schemas.openxmlformats.org/officeDocument/2006/relationships"/>
</we:webextension>
</file>

<file path=xl/webextensions/webextension2.xml><?xml version="1.0" encoding="utf-8"?>
<we:webextension xmlns:we="http://schemas.microsoft.com/office/webextensions/webextension/2010/11" id="{7E912CB8-E28D-40C7-B060-6DF0315CB720}">
  <we:reference id="wa200000018" version="25.0.2.0" store="en-US" storeType="OMEX"/>
  <we:alternateReferences>
    <we:reference id="wa200000018" version="25.0.2.0" store="wa200000018"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PSINORMAL</we:customFunctionIds>
        <we:customFunctionIds>PSIBERNOULLI</we:customFunctionIds>
        <we:customFunctionIds>PSIBETA</we:customFunctionIds>
        <we:customFunctionIds>PSIBETAGEN</we:customFunctionIds>
        <we:customFunctionIds>PSIBETASUBJ</we:customFunctionIds>
        <we:customFunctionIds>PSIBINOMIAL</we:customFunctionIds>
        <we:customFunctionIds>PSICAUCHY</we:customFunctionIds>
        <we:customFunctionIds>PSICHISQUARE</we:customFunctionIds>
        <we:customFunctionIds>PSICUMUL</we:customFunctionIds>
        <we:customFunctionIds>PSICUMULD</we:customFunctionIds>
        <we:customFunctionIds>PSIDISCRETE</we:customFunctionIds>
        <we:customFunctionIds>PSIDISUNIFORM</we:customFunctionIds>
        <we:customFunctionIds>PSIERF</we:customFunctionIds>
        <we:customFunctionIds>PSIERLANG</we:customFunctionIds>
        <we:customFunctionIds>PSIEXPONENTIAL</we:customFunctionIds>
        <we:customFunctionIds>PSIGAMMA</we:customFunctionIds>
        <we:customFunctionIds>PSIGENERAL</we:customFunctionIds>
        <we:customFunctionIds>PSIGEOMETRIC</we:customFunctionIds>
        <we:customFunctionIds>PSIHISTOGRAM</we:customFunctionIds>
        <we:customFunctionIds>PSIHYPERGEO</we:customFunctionIds>
        <we:customFunctionIds>PSIINTUNIFORM</we:customFunctionIds>
        <we:customFunctionIds>PSIINVNORMAL</we:customFunctionIds>
        <we:customFunctionIds>PSILAPLACE</we:customFunctionIds>
        <we:customFunctionIds>PSILOGARITHMIC</we:customFunctionIds>
        <we:customFunctionIds>PSILOGISTIC</we:customFunctionIds>
        <we:customFunctionIds>PSILOGLOGISTIC</we:customFunctionIds>
        <we:customFunctionIds>PSILOGNORMAL</we:customFunctionIds>
        <we:customFunctionIds>PSILOGNORM2</we:customFunctionIds>
        <we:customFunctionIds>PSIMAXEXTREME</we:customFunctionIds>
        <we:customFunctionIds>PSIMINEXTREME</we:customFunctionIds>
        <we:customFunctionIds>PSIMYERSON</we:customFunctionIds>
        <we:customFunctionIds>PSINEGBINOMIAL</we:customFunctionIds>
        <we:customFunctionIds>PSINORMALSKEW</we:customFunctionIds>
        <we:customFunctionIds>PSIPARETO</we:customFunctionIds>
        <we:customFunctionIds>PSIPARETO2</we:customFunctionIds>
        <we:customFunctionIds>PSIPEARSON5</we:customFunctionIds>
        <we:customFunctionIds>PSIPEARSON6</we:customFunctionIds>
        <we:customFunctionIds>PSIPERT</we:customFunctionIds>
        <we:customFunctionIds>PSIPOISSON</we:customFunctionIds>
        <we:customFunctionIds>PSIRAYLEIGH</we:customFunctionIds>
        <we:customFunctionIds>PSISTUDENT</we:customFunctionIds>
        <we:customFunctionIds>PSITRIANGULAR</we:customFunctionIds>
        <we:customFunctionIds>PSITRIANGGEN</we:customFunctionIds>
        <we:customFunctionIds>PSIUNIFORM</we:customFunctionIds>
        <we:customFunctionIds>PSIWEIBULL</we:customFunctionIds>
        <we:customFunctionIds>PSIBURR12</we:customFunctionIds>
        <we:customFunctionIds>PSIDAGUM</we:customFunctionIds>
        <we:customFunctionIds>PSIDBLTRIANG</we:customFunctionIds>
        <we:customFunctionIds>PSIFDIST</we:customFunctionIds>
        <we:customFunctionIds>PSIFATIGUELIFE</we:customFunctionIds>
        <we:customFunctionIds>PSIFRECHET</we:customFunctionIds>
        <we:customFunctionIds>PSIHYPSECANT</we:customFunctionIds>
        <we:customFunctionIds>PSIJOHNSONSB</we:customFunctionIds>
        <we:customFunctionIds>PSIJOHNSONSU</we:customFunctionIds>
        <we:customFunctionIds>PSIKUMARASWAMY</we:customFunctionIds>
        <we:customFunctionIds>PSILEVY</we:customFunctionIds>
        <we:customFunctionIds>PSIRECIPROCAL</we:customFunctionIds>
        <we:customFunctionIds>PSIVARY</we:customFunctionIds>
        <we:customFunctionIds>PSIMVLOGNORMAL</we:customFunctionIds>
        <we:customFunctionIds>PSIMVNORMAL</we:customFunctionIds>
        <we:customFunctionIds>PSIMVRESAMPLE</we:customFunctionIds>
        <we:customFunctionIds>PSIMVSHUFFLE</we:customFunctionIds>
        <we:customFunctionIds>PSIMEAN</we:customFunctionIds>
        <we:customFunctionIds>PSITHEOMEAN</we:customFunctionIds>
        <we:customFunctionIds>PSILOCK</we:customFunctionIds>
        <we:customFunctionIds>PSINAME</we:customFunctionIds>
        <we:customFunctionIds>PSISHIFT</we:customFunctionIds>
        <we:customFunctionIds>PSISAMPLE</we:customFunctionIds>
        <we:customFunctionIds>PSITRUNCATE</we:customFunctionIds>
        <we:customFunctionIds>PSISEED</we:customFunctionIds>
        <we:customFunctionIds>PSISIXSIGMA</we:customFunctionIds>
        <we:customFunctionIds>PSITSSYNC</we:customFunctionIds>
        <we:customFunctionIds>PSICONVERGENCE</we:customFunctionIds>
        <we:customFunctionIds>PSIISDATE</we:customFunctionIds>
        <we:customFunctionIds>PSIISDISCRETE</we:customFunctionIds>
        <we:customFunctionIds>PSILIBRARY</we:customFunctionIds>
        <we:customFunctionIds>PSIFITINFO</we:customFunctionIds>
        <we:customFunctionIds>PSIOUTPUT</we:customFunctionIds>
        <we:customFunctionIds>PSIINPUT</we:customFunctionIds>
        <we:customFunctionIds>PSISIMPARAM</we:customFunctionIds>
        <we:customFunctionIds>PSISENPARAM</we:customFunctionIds>
        <we:customFunctionIds>PSIOPTPARAM</we:customFunctionIds>
        <we:customFunctionIds>PSICALCPARAM</we:customFunctionIds>
        <we:customFunctionIds>PSISLURP</we:customFunctionIds>
        <we:customFunctionIds>PSISIP</we:customFunctionIds>
        <we:customFunctionIds>PSITSSIP</we:customFunctionIds>
        <we:customFunctionIds>PSICORRMATRIX</we:customFunctionIds>
        <we:customFunctionIds>PSICORRDEPEN</we:customFunctionIds>
        <we:customFunctionIds>PSICORRINDEP</we:customFunctionIds>
        <we:customFunctionIds>PSIFIT</we:customFunctionIds>
        <we:customFunctionIds>PSIDATA</we:customFunctionIds>
        <we:customFunctionIds>PSIKURTOSIS</we:customFunctionIds>
        <we:customFunctionIds>PSITHEOKURTOSIS</we:customFunctionIds>
        <we:customFunctionIds>PSIMAX</we:customFunctionIds>
        <we:customFunctionIds>PSITHEOMAX</we:customFunctionIds>
        <we:customFunctionIds>PSIMIN</we:customFunctionIds>
        <we:customFunctionIds>PSITHEOMIN</we:customFunctionIds>
        <we:customFunctionIds>PSIMODE</we:customFunctionIds>
        <we:customFunctionIds>PSITHEOMODE</we:customFunctionIds>
        <we:customFunctionIds>PSIPERCENTILE</we:customFunctionIds>
        <we:customFunctionIds>PSITHEOPERCENTILE</we:customFunctionIds>
        <we:customFunctionIds>PSIPTOX</we:customFunctionIds>
        <we:customFunctionIds>PSITHEOPTOX</we:customFunctionIds>
        <we:customFunctionIds>PSIPERCENTILED</we:customFunctionIds>
        <we:customFunctionIds>PSITHEOPERCENTILED</we:customFunctionIds>
        <we:customFunctionIds>PSIQTOX</we:customFunctionIds>
        <we:customFunctionIds>PSITHEOQTOX</we:customFunctionIds>
        <we:customFunctionIds>PSIRANGE</we:customFunctionIds>
        <we:customFunctionIds>PSITHEORANGE</we:customFunctionIds>
        <we:customFunctionIds>PSISKEWNESS</we:customFunctionIds>
        <we:customFunctionIds>PSITHEOSKEWNESS</we:customFunctionIds>
        <we:customFunctionIds>PSISTDDEV</we:customFunctionIds>
        <we:customFunctionIds>PSITHEOSTDDEV</we:customFunctionIds>
        <we:customFunctionIds>PSITARGET</we:customFunctionIds>
        <we:customFunctionIds>PSITHEOTARGET</we:customFunctionIds>
        <we:customFunctionIds>PSIXTOP</we:customFunctionIds>
        <we:customFunctionIds>PSITHEOXTOP</we:customFunctionIds>
        <we:customFunctionIds>PSITARGETD</we:customFunctionIds>
        <we:customFunctionIds>PSITHEOTARGETD</we:customFunctionIds>
        <we:customFunctionIds>PSIXTOQ</we:customFunctionIds>
        <we:customFunctionIds>PSITHEOXTOQ</we:customFunctionIds>
        <we:customFunctionIds>PSITHEOXTOY</we:customFunctionIds>
        <we:customFunctionIds>PSIVARIANCE</we:customFunctionIds>
        <we:customFunctionIds>PSITHEOVARIANCE</we:customFunctionIds>
        <we:customFunctionIds>PSIABSDEV</we:customFunctionIds>
        <we:customFunctionIds>PSICITRIALS</we:customFunctionIds>
        <we:customFunctionIds>PSICORRELATION</we:customFunctionIds>
        <we:customFunctionIds>PSIFREQUENCY</we:customFunctionIds>
        <we:customFunctionIds>PSIMEANCI</we:customFunctionIds>
        <we:customFunctionIds>PSIMEANCIB</we:customFunctionIds>
        <we:customFunctionIds>PSISEMIDEV</we:customFunctionIds>
        <we:customFunctionIds>PSISEMIDEV2</we:customFunctionIds>
        <we:customFunctionIds>PSISEMIVAR</we:customFunctionIds>
        <we:customFunctionIds>PSISEMIVAR2</we:customFunctionIds>
        <we:customFunctionIds>PSISTDDEVCI</we:customFunctionIds>
        <we:customFunctionIds>PSIBVAR</we:customFunctionIds>
        <we:customFunctionIds>PSICVAR</we:customFunctionIds>
        <we:customFunctionIds>PSICURRENTTRIAL</we:customFunctionIds>
        <we:customFunctionIds>PSICURRENTSIM</we:customFunctionIds>
        <we:customFunctionIds>PSICOUNT</we:customFunctionIds>
        <we:customFunctionIds>PSISENVALUE</we:customFunctionIds>
        <we:customFunctionIds>PSICURRENTOPT</we:customFunctionIds>
        <we:customFunctionIds>PSIMEDIAN</we:customFunctionIds>
        <we:customFunctionIds>PSITHEOMEDIAN</we:customFunctionIds>
        <we:customFunctionIds>PSIDIM</we:customFunctionIds>
        <we:customFunctionIds>PSICUBE</we:customFunctionIds>
        <we:customFunctionIds>PSIREDUCE</we:customFunctionIds>
        <we:customFunctionIds>PSIJOIN</we:customFunctionIds>
        <we:customFunctionIds>PSIOPTSTATUS</we:customFunctionIds>
        <we:customFunctionIds>PSIPIVOTCUBE</we:customFunctionIds>
        <we:customFunctionIds>PSICALCVALUE</we:customFunctionIds>
        <we:customFunctionIds>PSIOPTDATA</we:customFunctionIds>
        <we:customFunctionIds>PSIPARAMDIM</we:customFunctionIds>
        <we:customFunctionIds>PSIPIVOTDIM</we:customFunctionIds>
        <we:customFunctionIds>PSICUBEOUTPUT</we:customFunctionIds>
        <we:customFunctionIds>PSIDIMLOCK</we:customFunctionIds>
        <we:customFunctionIds>PSIDIMACTIVE</we:customFunctionIds>
        <we:customFunctionIds>PSICUBEDATA</we:customFunctionIds>
        <we:customFunctionIds>PSISIMOUTPUT</we:customFunctionIds>
        <we:customFunctionIds>PSISIMDATA</we:customFunctionIds>
        <we:customFunctionIds>PSIRESAMPLE</we:customFunctionIds>
        <we:customFunctionIds>PSITABLECUBE</we:customFunctionIds>
        <we:customFunctionIds>PSICOMPOUND</we:customFunctionIds>
        <we:customFunctionIds>PSICOPULA</we:customFunctionIds>
        <we:customFunctionIds>PSICOPULASTUDENT</we:customFunctionIds>
        <we:customFunctionIds>PSICOPULAGAUSS</we:customFunctionIds>
        <we:customFunctionIds>PSIKENDALLTAU</we:customFunctionIds>
        <we:customFunctionIds>PSISPEARMANRHO</we:customFunctionIds>
        <we:customFunctionIds>PSIMETALOG</we:customFunctionIds>
        <we:customFunctionIds>PSIMETALOG2</we:customFunctionIds>
        <we:customFunctionIds>PSIMETALOGSPT</we:customFunctionIds>
        <we:customFunctionIds>PSIMETALOGFIT</we:customFunctionIds>
        <we:customFunctionIds>PSIMETALOG2FIT</we:customFunctionIds>
        <we:customFunctionIds>PSIDATASRC</we:customFunctionIds>
        <we:customFunctionIds>PSIMODELSRC</we:customFunctionIds>
        <we:customFunctionIds>PSISIGMACP</we:customFunctionIds>
        <we:customFunctionIds>PSISIGMACPK</we:customFunctionIds>
        <we:customFunctionIds>PSISIGMACPKLOWER</we:customFunctionIds>
        <we:customFunctionIds>PSISIGMACPKUPPER</we:customFunctionIds>
        <we:customFunctionIds>PSISIGMACPM</we:customFunctionIds>
        <we:customFunctionIds>PSISIGMADEFECTPPM</we:customFunctionIds>
        <we:customFunctionIds>PSISIGMADEFECTSHIFTPPM</we:customFunctionIds>
        <we:customFunctionIds>PSISIGMADEFECTSHIFTPPMLower</we:customFunctionIds>
        <we:customFunctionIds>PSISIGMADEFECTSHIFTPPMUPPER</we:customFunctionIds>
        <we:customFunctionIds>PSISIGMAK</we:customFunctionIds>
        <we:customFunctionIds>PSISIGMALOWERBOUND</we:customFunctionIds>
        <we:customFunctionIds>PSISIGMAPROBDEFECTSHIFT</we:customFunctionIds>
        <we:customFunctionIds>PSISIGMAPROBDEFECTSHIFTLOWER</we:customFunctionIds>
        <we:customFunctionIds>PSISIGMAPROBDEFECTSHIFTUPPER</we:customFunctionIds>
        <we:customFunctionIds>PSISIGMASIGMALEVEL</we:customFunctionIds>
        <we:customFunctionIds>PSISIGMAUPPERBOUND</we:customFunctionIds>
        <we:customFunctionIds>PSISIGMAYIELD</we:customFunctionIds>
        <we:customFunctionIds>PSISIGMAZLOWER</we:customFunctionIds>
        <we:customFunctionIds>PSISIGMAZMIN</we:customFunctionIds>
        <we:customFunctionIds>PSISIGMAZUPPER</we:customFunctionIds>
        <we:customFunctionIds>PSIBETAGENALT</we:customFunctionIds>
        <we:customFunctionIds>PSICAUCHYALT</we:customFunctionIds>
        <we:customFunctionIds>PSICHISQUAREALT</we:customFunctionIds>
        <we:customFunctionIds>PSIERFALT</we:customFunctionIds>
        <we:customFunctionIds>PSIEXPONENTIALALT</we:customFunctionIds>
        <we:customFunctionIds>PSIGAMMAALT</we:customFunctionIds>
        <we:customFunctionIds>PSIINVNORMALALT</we:customFunctionIds>
        <we:customFunctionIds>PSILAPLACEALT</we:customFunctionIds>
        <we:customFunctionIds>PSILOGISTICALT</we:customFunctionIds>
        <we:customFunctionIds>PSILOGLOGISTICALT</we:customFunctionIds>
        <we:customFunctionIds>PSILOGNORMALALT</we:customFunctionIds>
        <we:customFunctionIds>PSIMAXEXTREMEALT</we:customFunctionIds>
        <we:customFunctionIds>PSIMINEXTREMEALT</we:customFunctionIds>
        <we:customFunctionIds>PSINORMALALT</we:customFunctionIds>
        <we:customFunctionIds>PSIUNIFORMALT</we:customFunctionIds>
        <we:customFunctionIds>PSITRIANGULARALT</we:customFunctionIds>
        <we:customFunctionIds>PSIPARETOALT</we:customFunctionIds>
        <we:customFunctionIds>PSIPARETO2ALT</we:customFunctionIds>
        <we:customFunctionIds>PSILEVYALT</we:customFunctionIds>
        <we:customFunctionIds>PSIHYPSECANTALT</we:customFunctionIds>
        <we:customFunctionIds>PSIPEARSON5ALT</we:customFunctionIds>
        <we:customFunctionIds>PSIPEARSON6ALT</we:customFunctionIds>
        <we:customFunctionIds>PSIPERTALT</we:customFunctionIds>
        <we:customFunctionIds>PSIRAYLEIGHALT</we:customFunctionIds>
        <we:customFunctionIds>PSISTUDENTALT</we:customFunctionIds>
        <we:customFunctionIds>PSIWEIBULLALT</we:customFunctionIds>
        <we:customFunctionIds>PSIFATIGUELIFEALT</we:customFunctionIds>
        <we:customFunctionIds>PSIFRECHETALT</we:customFunctionIds>
        <we:customFunctionIds>PSIOPTVALUE</we:customFunctionIds>
        <we:customFunctionIds>PSICOEFFVAR</we:customFunctionIds>
        <we:customFunctionIds>PSISTDERR</we:customFunctionIds>
        <we:customFunctionIds>PSIEXPGAIN</we:customFunctionIds>
        <we:customFunctionIds>PSIEXPGAINRATIO</we:customFunctionIds>
        <we:customFunctionIds>PSIEXPLOSS</we:customFunctionIds>
        <we:customFunctionIds>PSIEXPLOSSRATIO</we:customFunctionIds>
        <we:customFunctionIds>PSIEXPVALMARGIN</we:customFunctionIds>
        <we:customFunctionIds>PSICERTIFIED</we:customFunctionIds>
        <we:customFunctionIds>PSICENSOR</we:customFunctionIds>
        <we:customFunctionIds>PSIBASECASE</we:customFunctionIds>
        <we:customFunctionIds>PSIFORECASTETS</we:customFunctionIds>
        <we:customFunctionIds>PSIFORECASTLINEAR</we:customFunctionIds>
        <we:customFunctionIds>DOTPRODUCT</we:customFunctionIds>
        <we:customFunctionIds>QUADPRODUCT</we:customFunctionIds>
        <we:customFunctionIds>PSIDECTABLE</we:customFunctionIds>
        <we:customFunctionIds>PSIBOXFUNCTION</we:customFunctionIds>
        <we:customFunctionIds>PSIBOXITERATOR</we:customFunctionIds>
        <we:customFunctionIds>PSIINITIALVALUE</we:customFunctionIds>
        <we:customFunctionIds>PSIFINALVALUE</we:customFunctionIds>
        <we:customFunctionIds>PSIDUALVALUE</we:customFunctionIds>
        <we:customFunctionIds>PSISLACKVALUE</we:customFunctionIds>
        <we:customFunctionIds>PSIDUALUPPER</we:customFunctionIds>
        <we:customFunctionIds>PSIDUALLOWER</we:customFunctionIds>
        <we:customFunctionIds>PSITSINTEGRATE</we:customFunctionIds>
        <we:customFunctionIds>PSITRANSFORM</we:customFunctionIds>
        <we:customFunctionIds>PSITSSEASONALITY</we:customFunctionIds>
        <we:customFunctionIds>PSITSLEN</we:customFunctionIds>
        <we:customFunctionIds>PSIAR1</we:customFunctionIds>
        <we:customFunctionIds>PSIAR2</we:customFunctionIds>
        <we:customFunctionIds>PSIMA1</we:customFunctionIds>
        <we:customFunctionIds>PSIMA2</we:customFunctionIds>
        <we:customFunctionIds>PSIARMA11</we:customFunctionIds>
        <we:customFunctionIds>PSIARCH1</we:customFunctionIds>
        <we:customFunctionIds>PSIGARCH11</we:customFunctionIds>
        <we:customFunctionIds>PSIEGARCH11</we:customFunctionIds>
        <we:customFunctionIds>PSIAPARCH11</we:customFunctionIds>
        <we:customFunctionIds>PSITARGETCI</we:customFunctionIds>
        <we:customFunctionIds>PSIPERCENTILECI</we:customFunctionIds>
        <we:customFunctionIds>PSIPERCENTILES</we:customFunctionIds>
        <we:customFunctionIds>PSIMODELDESC</we:customFunctionIds>
        <we:customFunctionIds>PSICORRECTCORMAT</we:customFunctionIds>
        <we:customFunctionIds>PSISTATIC</we:customFunctionIds>
        <we:customFunctionIds>PSIMAKEINPUT</we:customFunctionIds>
        <we:customFunctionIds>PSISIMULATIONINFO</we:customFunctionIds>
        <we:customFunctionIds>PSICONVERGED</we:customFunctionIds>
        <we:customFunctionIds>PSIDISTINFO</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733FF-A34D-4822-BE67-2D668FEE0363}">
  <sheetPr codeName="Sheet10"/>
  <dimension ref="A1"/>
  <sheetViews>
    <sheetView tabSelected="1" workbookViewId="0"/>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BC3A5-4F96-4556-8BA9-9D72D06BA5D4}">
  <sheetPr codeName="Sheet1"/>
  <dimension ref="A4:AB89"/>
  <sheetViews>
    <sheetView topLeftCell="A70" workbookViewId="0">
      <selection activeCell="O30" sqref="O30"/>
    </sheetView>
  </sheetViews>
  <sheetFormatPr defaultRowHeight="14.4" x14ac:dyDescent="0.3"/>
  <cols>
    <col min="1" max="1" width="14.77734375" customWidth="1"/>
    <col min="2" max="2" width="10.109375" customWidth="1"/>
    <col min="3" max="3" width="10.33203125" customWidth="1"/>
    <col min="4" max="4" width="10.77734375" customWidth="1"/>
    <col min="5" max="6" width="9.77734375" customWidth="1"/>
    <col min="7" max="7" width="9.88671875" customWidth="1"/>
    <col min="8" max="8" width="10.21875" customWidth="1"/>
    <col min="9" max="9" width="10.33203125" customWidth="1"/>
    <col min="10" max="10" width="10.21875" customWidth="1"/>
    <col min="11" max="11" width="10.77734375" customWidth="1"/>
    <col min="14" max="14" width="9.5546875" customWidth="1"/>
    <col min="15" max="15" width="10.5546875" customWidth="1"/>
    <col min="16" max="16" width="10.21875" customWidth="1"/>
    <col min="17" max="17" width="9.77734375" customWidth="1"/>
    <col min="18" max="18" width="10.6640625" customWidth="1"/>
    <col min="19" max="19" width="9.6640625" customWidth="1"/>
    <col min="20" max="20" width="10" customWidth="1"/>
    <col min="21" max="21" width="9.88671875" customWidth="1"/>
  </cols>
  <sheetData>
    <row r="4" spans="1:15" x14ac:dyDescent="0.3">
      <c r="O4" s="21">
        <v>45971</v>
      </c>
    </row>
    <row r="7" spans="1:15" x14ac:dyDescent="0.3">
      <c r="B7" s="4" t="s">
        <v>167</v>
      </c>
    </row>
    <row r="8" spans="1:15" x14ac:dyDescent="0.3">
      <c r="A8" s="4" t="s">
        <v>148</v>
      </c>
      <c r="B8" s="4">
        <v>27</v>
      </c>
      <c r="C8" s="4">
        <v>47.332999999999998</v>
      </c>
      <c r="D8" s="4">
        <v>67.665999999999997</v>
      </c>
      <c r="E8" s="4">
        <v>87.998999999999995</v>
      </c>
      <c r="F8" s="4">
        <v>108.33199999999999</v>
      </c>
      <c r="G8" s="4">
        <v>128.66499999999999</v>
      </c>
      <c r="H8" s="4">
        <v>148.99799999999999</v>
      </c>
      <c r="I8" s="4">
        <v>169.33099999999999</v>
      </c>
      <c r="J8" s="4">
        <v>189.66399999999999</v>
      </c>
      <c r="K8" s="4">
        <v>209.99699999999999</v>
      </c>
    </row>
    <row r="9" spans="1:15" x14ac:dyDescent="0.3">
      <c r="A9" s="4">
        <v>12</v>
      </c>
      <c r="B9" s="10">
        <f>-0.015833</f>
        <v>-1.5833E-2</v>
      </c>
      <c r="C9" s="10">
        <v>-4.3749999999999997E-2</v>
      </c>
      <c r="D9" s="10">
        <v>-9.7917000000000004E-2</v>
      </c>
      <c r="E9" s="10">
        <v>-7.0416999999999993E-2</v>
      </c>
      <c r="F9" s="10">
        <v>-7.7499999999999999E-2</v>
      </c>
      <c r="G9" s="10">
        <v>-7.0416999999999993E-2</v>
      </c>
      <c r="H9" s="10">
        <v>-7.7082999999999999E-2</v>
      </c>
      <c r="I9" s="10">
        <v>-7.4166999999999997E-2</v>
      </c>
      <c r="J9" s="10">
        <v>-8.8749999999999996E-2</v>
      </c>
      <c r="K9" s="10">
        <v>-8.8749999999999996E-2</v>
      </c>
    </row>
    <row r="10" spans="1:15" x14ac:dyDescent="0.3">
      <c r="A10" s="4">
        <v>33.444000000000003</v>
      </c>
      <c r="B10" s="10">
        <f>-0.022083</f>
        <v>-2.2082999999999998E-2</v>
      </c>
      <c r="C10" s="10">
        <v>-3.7082999999999998E-2</v>
      </c>
      <c r="D10" s="10">
        <v>-9.2082999999999998E-2</v>
      </c>
      <c r="E10" s="10">
        <v>-5.8333000000000003E-2</v>
      </c>
      <c r="F10" s="10">
        <v>-5.7500000000000002E-2</v>
      </c>
      <c r="G10" s="10">
        <v>-4.7083E-2</v>
      </c>
      <c r="H10" s="10">
        <v>-5.9582999999999997E-2</v>
      </c>
      <c r="I10" s="10">
        <v>-5.5E-2</v>
      </c>
      <c r="J10" s="10">
        <v>-7.3332999999999995E-2</v>
      </c>
      <c r="K10" s="10">
        <v>-8.8749999999999996E-2</v>
      </c>
    </row>
    <row r="11" spans="1:15" x14ac:dyDescent="0.3">
      <c r="A11" s="4">
        <v>54.888000000000005</v>
      </c>
      <c r="B11" s="10">
        <v>1.6250000000000001E-2</v>
      </c>
      <c r="C11" s="10">
        <v>1.125E-2</v>
      </c>
      <c r="D11" s="10">
        <v>-4.0417000000000002E-2</v>
      </c>
      <c r="E11" s="10">
        <v>-2.1250000000000002E-2</v>
      </c>
      <c r="F11" s="10">
        <v>-2.9166999999999998E-2</v>
      </c>
      <c r="G11" s="10">
        <v>-1.375E-2</v>
      </c>
      <c r="H11" s="10">
        <v>-3.1667000000000001E-2</v>
      </c>
      <c r="I11" s="10">
        <v>-2.2499999999999999E-2</v>
      </c>
      <c r="J11" s="10">
        <v>-4.0417000000000002E-2</v>
      </c>
      <c r="K11" s="10">
        <v>-5.1249999999999997E-2</v>
      </c>
    </row>
    <row r="12" spans="1:15" x14ac:dyDescent="0.3">
      <c r="A12" s="4">
        <v>76.332000000000008</v>
      </c>
      <c r="B12" s="10">
        <v>3.2917000000000002E-2</v>
      </c>
      <c r="C12" s="10">
        <v>1.4583E-2</v>
      </c>
      <c r="D12" s="10">
        <v>-1.6250000000000001E-2</v>
      </c>
      <c r="E12" s="10">
        <v>0</v>
      </c>
      <c r="F12" s="10">
        <v>-1.7500000000000002E-2</v>
      </c>
      <c r="G12" s="10">
        <v>5.0000000000000001E-3</v>
      </c>
      <c r="H12" s="10">
        <v>-1.3332999999999999E-2</v>
      </c>
      <c r="I12" s="10">
        <v>-1.0416999999999999E-2</v>
      </c>
      <c r="J12" s="10">
        <v>-3.2083E-2</v>
      </c>
      <c r="K12" s="10">
        <v>-1.8749999999999999E-2</v>
      </c>
    </row>
    <row r="13" spans="1:15" x14ac:dyDescent="0.3">
      <c r="A13" s="4">
        <v>97.77600000000001</v>
      </c>
      <c r="B13" s="10">
        <v>4.1667000000000003E-2</v>
      </c>
      <c r="C13" s="10">
        <v>3.0832999999999999E-2</v>
      </c>
      <c r="D13" s="10">
        <v>6.2500000000000003E-3</v>
      </c>
      <c r="E13" s="10">
        <v>1.9583E-2</v>
      </c>
      <c r="F13" s="10">
        <v>-7.4999999999999997E-3</v>
      </c>
      <c r="G13" s="10">
        <v>5.0000000000000001E-3</v>
      </c>
      <c r="H13" s="10">
        <v>-1.2500000000000001E-2</v>
      </c>
      <c r="I13" s="10">
        <v>-8.7500000000000008E-3</v>
      </c>
      <c r="J13" s="10">
        <v>-3.125E-2</v>
      </c>
      <c r="K13" s="10">
        <v>-1.6250000000000001E-2</v>
      </c>
    </row>
    <row r="14" spans="1:15" x14ac:dyDescent="0.3">
      <c r="A14" s="4">
        <v>119.22000000000001</v>
      </c>
      <c r="B14" s="10">
        <v>5.0833000000000003E-2</v>
      </c>
      <c r="C14" s="10">
        <v>3.2083E-2</v>
      </c>
      <c r="D14" s="10">
        <v>7.0829999999999999E-3</v>
      </c>
      <c r="E14" s="10">
        <v>1.2917E-2</v>
      </c>
      <c r="F14" s="10">
        <v>-1.7500000000000002E-2</v>
      </c>
      <c r="G14" s="10">
        <v>2.9169999999999999E-3</v>
      </c>
      <c r="H14" s="10">
        <v>-0.01</v>
      </c>
      <c r="I14" s="10">
        <v>-0.01</v>
      </c>
      <c r="J14" s="10">
        <v>-2.9166999999999998E-2</v>
      </c>
      <c r="K14" s="10">
        <v>-1.6250000000000001E-2</v>
      </c>
    </row>
    <row r="15" spans="1:15" x14ac:dyDescent="0.3">
      <c r="A15" s="4">
        <v>140.66400000000002</v>
      </c>
      <c r="B15" s="10">
        <v>4.8750000000000002E-2</v>
      </c>
      <c r="C15" s="10">
        <v>3.9167E-2</v>
      </c>
      <c r="D15" s="10">
        <v>1.8332999999999999E-2</v>
      </c>
      <c r="E15" s="10">
        <v>0.03</v>
      </c>
      <c r="F15" s="10">
        <v>3.333E-3</v>
      </c>
      <c r="G15" s="10">
        <v>1.9167E-2</v>
      </c>
      <c r="H15" s="10">
        <v>-4.5830000000000003E-3</v>
      </c>
      <c r="I15" s="10">
        <v>-6.2500000000000003E-3</v>
      </c>
      <c r="J15" s="10">
        <v>-2.4583000000000001E-2</v>
      </c>
      <c r="K15" s="10">
        <v>-7.4999999999999997E-3</v>
      </c>
    </row>
    <row r="16" spans="1:15" x14ac:dyDescent="0.3">
      <c r="A16" s="4">
        <v>162.108</v>
      </c>
      <c r="B16" s="10">
        <v>4.5416999999999999E-2</v>
      </c>
      <c r="C16" s="10">
        <v>2.7082999999999999E-2</v>
      </c>
      <c r="D16" s="10">
        <v>8.3299999999999997E-4</v>
      </c>
      <c r="E16" s="10">
        <v>2.7082999999999999E-2</v>
      </c>
      <c r="F16" s="10">
        <v>8.3330000000000001E-3</v>
      </c>
      <c r="G16" s="10">
        <v>2.2499999999999999E-2</v>
      </c>
      <c r="H16" s="10">
        <v>-1.25E-3</v>
      </c>
      <c r="I16" s="10">
        <v>-3.7499999999999999E-3</v>
      </c>
      <c r="J16" s="10">
        <v>-2.1666999999999999E-2</v>
      </c>
      <c r="K16" s="10">
        <v>-3.7499999999999999E-3</v>
      </c>
    </row>
    <row r="17" spans="1:28" x14ac:dyDescent="0.3">
      <c r="A17" s="4">
        <v>183.55199999999999</v>
      </c>
      <c r="B17" s="10">
        <v>1.8749999999999999E-2</v>
      </c>
      <c r="C17" s="10">
        <v>8.3330000000000001E-3</v>
      </c>
      <c r="D17" s="10">
        <v>-1.4167000000000001E-2</v>
      </c>
      <c r="E17" s="10">
        <v>2.0833000000000001E-2</v>
      </c>
      <c r="F17" s="10">
        <v>6.2500000000000003E-3</v>
      </c>
      <c r="G17" s="10">
        <v>2.0833000000000001E-2</v>
      </c>
      <c r="H17" s="10">
        <v>-3.333E-3</v>
      </c>
      <c r="I17" s="10">
        <v>-9.5829999999999995E-3</v>
      </c>
      <c r="J17" s="10">
        <v>-3.3750000000000002E-2</v>
      </c>
      <c r="K17" s="10">
        <v>-8.3330000000000001E-3</v>
      </c>
    </row>
    <row r="18" spans="1:28" x14ac:dyDescent="0.3">
      <c r="A18" s="4">
        <v>204.99599999999998</v>
      </c>
      <c r="B18" s="10">
        <v>2.0417000000000001E-2</v>
      </c>
      <c r="C18" s="10">
        <v>1.2500000000000001E-2</v>
      </c>
      <c r="D18" s="10">
        <v>5.8329999999999996E-3</v>
      </c>
      <c r="E18" s="10">
        <v>4.6249999999999999E-2</v>
      </c>
      <c r="F18" s="10">
        <v>1.0833000000000001E-2</v>
      </c>
      <c r="G18" s="10">
        <v>2.6667E-2</v>
      </c>
      <c r="H18" s="10">
        <v>4.5830000000000003E-3</v>
      </c>
      <c r="I18" s="10">
        <v>-1.25E-3</v>
      </c>
      <c r="J18" s="10">
        <v>-3.4583000000000003E-2</v>
      </c>
      <c r="K18" s="10">
        <v>2.0830000000000002E-3</v>
      </c>
    </row>
    <row r="20" spans="1:28" x14ac:dyDescent="0.3">
      <c r="B20" s="22" t="s">
        <v>155</v>
      </c>
    </row>
    <row r="21" spans="1:28" x14ac:dyDescent="0.3">
      <c r="A21" s="4" t="s">
        <v>148</v>
      </c>
      <c r="B21" s="4">
        <v>27</v>
      </c>
      <c r="C21" s="4">
        <v>47.332999999999998</v>
      </c>
      <c r="D21" s="4">
        <v>67.665999999999997</v>
      </c>
      <c r="E21" s="4">
        <v>87.998999999999995</v>
      </c>
      <c r="F21" s="4">
        <v>108.33199999999999</v>
      </c>
      <c r="G21" s="4">
        <v>128.66499999999999</v>
      </c>
      <c r="H21" s="4">
        <v>148.99799999999999</v>
      </c>
      <c r="I21" s="4">
        <v>169.33099999999999</v>
      </c>
      <c r="J21" s="4">
        <v>189.66399999999999</v>
      </c>
      <c r="K21" s="4">
        <v>209.99699999999999</v>
      </c>
    </row>
    <row r="22" spans="1:28" x14ac:dyDescent="0.3">
      <c r="A22" s="4">
        <v>12</v>
      </c>
      <c r="B22" s="10">
        <v>6.6250000000000003E-2</v>
      </c>
      <c r="C22" s="10">
        <v>7.5832999999999998E-2</v>
      </c>
      <c r="D22" s="10">
        <v>1.2917E-2</v>
      </c>
      <c r="E22" s="10">
        <v>2.9583000000000002E-2</v>
      </c>
      <c r="F22" s="10">
        <v>8.3330000000000001E-3</v>
      </c>
      <c r="G22" s="10">
        <v>2.8333000000000001E-2</v>
      </c>
      <c r="H22" s="10">
        <v>2.5416999999999999E-2</v>
      </c>
      <c r="I22" s="10">
        <v>2.9166999999999998E-2</v>
      </c>
      <c r="J22" s="10">
        <v>-4.5830000000000003E-3</v>
      </c>
      <c r="K22" s="10">
        <v>5.7500000000000002E-2</v>
      </c>
    </row>
    <row r="23" spans="1:28" x14ac:dyDescent="0.3">
      <c r="A23" s="4">
        <v>33.444000000000003</v>
      </c>
      <c r="B23" s="10">
        <v>2.375E-2</v>
      </c>
      <c r="C23" s="10">
        <v>1.9583E-2</v>
      </c>
      <c r="D23" s="10">
        <v>-4.7083E-2</v>
      </c>
      <c r="E23" s="10">
        <v>-2.8333000000000001E-2</v>
      </c>
      <c r="F23" s="10">
        <v>-4.0417000000000002E-2</v>
      </c>
      <c r="G23" s="10">
        <v>-1.5833E-2</v>
      </c>
      <c r="H23" s="10">
        <v>-0.02</v>
      </c>
      <c r="I23" s="10">
        <v>-1.3332999999999999E-2</v>
      </c>
      <c r="J23" s="10">
        <v>-2.9583000000000002E-2</v>
      </c>
      <c r="K23" s="10">
        <v>-1.2083E-2</v>
      </c>
    </row>
    <row r="24" spans="1:28" x14ac:dyDescent="0.3">
      <c r="A24" s="4">
        <v>54.888000000000005</v>
      </c>
      <c r="B24" s="10">
        <v>6.3750000000000001E-2</v>
      </c>
      <c r="C24" s="10">
        <v>6.4167000000000002E-2</v>
      </c>
      <c r="D24" s="10">
        <v>2.9169999999999999E-3</v>
      </c>
      <c r="E24" s="10">
        <v>1.8332999999999999E-2</v>
      </c>
      <c r="F24" s="10">
        <v>-5.0000000000000001E-3</v>
      </c>
      <c r="G24" s="10">
        <v>1.8332999999999999E-2</v>
      </c>
      <c r="H24" s="10">
        <v>4.1669999999999997E-3</v>
      </c>
      <c r="I24" s="10">
        <v>1.2917E-2</v>
      </c>
      <c r="J24" s="10">
        <v>-9.1669999999999998E-3</v>
      </c>
      <c r="K24" s="10">
        <v>-1.3332999999999999E-2</v>
      </c>
    </row>
    <row r="25" spans="1:28" x14ac:dyDescent="0.3">
      <c r="A25" s="4">
        <v>76.332000000000008</v>
      </c>
      <c r="B25" s="10">
        <v>5.8749999999999997E-2</v>
      </c>
      <c r="C25" s="10">
        <v>4.8750000000000002E-2</v>
      </c>
      <c r="D25" s="10">
        <v>7.0829999999999999E-3</v>
      </c>
      <c r="E25" s="10">
        <v>3.3333000000000002E-2</v>
      </c>
      <c r="F25" s="10">
        <v>9.1669999999999998E-3</v>
      </c>
      <c r="G25" s="10">
        <v>2.7917000000000001E-2</v>
      </c>
      <c r="H25" s="10">
        <v>7.4999999999999997E-3</v>
      </c>
      <c r="I25" s="10">
        <v>1.7916999999999999E-2</v>
      </c>
      <c r="J25" s="10">
        <v>-7.9170000000000004E-3</v>
      </c>
      <c r="K25" s="10">
        <v>6.6670000000000002E-3</v>
      </c>
    </row>
    <row r="26" spans="1:28" x14ac:dyDescent="0.3">
      <c r="A26" s="4">
        <v>97.77600000000001</v>
      </c>
      <c r="B26" s="10">
        <v>6.7500000000000004E-2</v>
      </c>
      <c r="C26" s="10">
        <v>6.25E-2</v>
      </c>
      <c r="D26" s="10">
        <v>2.375E-2</v>
      </c>
      <c r="E26" s="10">
        <v>4.1667000000000003E-2</v>
      </c>
      <c r="F26" s="10">
        <v>1.4167000000000001E-2</v>
      </c>
      <c r="G26" s="10">
        <v>2.8333000000000001E-2</v>
      </c>
      <c r="H26" s="10">
        <v>1.375E-2</v>
      </c>
      <c r="I26" s="10">
        <v>1.4999999999999999E-2</v>
      </c>
      <c r="J26" s="10">
        <v>-8.3330000000000001E-3</v>
      </c>
      <c r="K26" s="10">
        <v>3.7499999999999999E-3</v>
      </c>
    </row>
    <row r="27" spans="1:28" x14ac:dyDescent="0.3">
      <c r="A27" s="4">
        <v>119.22000000000001</v>
      </c>
      <c r="B27" s="10">
        <v>7.3332999999999995E-2</v>
      </c>
      <c r="C27" s="10">
        <v>5.5833000000000001E-2</v>
      </c>
      <c r="D27" s="10">
        <v>2.1250000000000002E-2</v>
      </c>
      <c r="E27" s="10">
        <v>3.7082999999999998E-2</v>
      </c>
      <c r="F27" s="10">
        <v>-4.1669999999999997E-3</v>
      </c>
      <c r="G27" s="10">
        <v>1.8749999999999999E-2</v>
      </c>
      <c r="H27" s="10">
        <v>6.6670000000000002E-3</v>
      </c>
      <c r="I27" s="10">
        <v>1.0416999999999999E-2</v>
      </c>
      <c r="J27" s="10">
        <v>-7.4999999999999997E-3</v>
      </c>
      <c r="K27" s="10">
        <v>4.1669999999999997E-3</v>
      </c>
    </row>
    <row r="28" spans="1:28" x14ac:dyDescent="0.3">
      <c r="A28" s="4">
        <v>140.66400000000002</v>
      </c>
      <c r="B28" s="10">
        <v>6.9167000000000006E-2</v>
      </c>
      <c r="C28" s="10">
        <v>0.06</v>
      </c>
      <c r="D28" s="10">
        <v>2.5832999999999998E-2</v>
      </c>
      <c r="E28" s="10">
        <v>4.4582999999999998E-2</v>
      </c>
      <c r="F28" s="10">
        <v>1.8749999999999999E-2</v>
      </c>
      <c r="G28" s="10">
        <v>3.1667000000000001E-2</v>
      </c>
      <c r="H28" s="10">
        <v>8.3330000000000001E-3</v>
      </c>
      <c r="I28" s="10">
        <v>0.01</v>
      </c>
      <c r="J28" s="10">
        <v>-1.1667E-2</v>
      </c>
      <c r="K28" s="10">
        <v>1.25E-3</v>
      </c>
    </row>
    <row r="29" spans="1:28" x14ac:dyDescent="0.3">
      <c r="A29" s="4">
        <v>162.108</v>
      </c>
      <c r="B29" s="10">
        <v>0.06</v>
      </c>
      <c r="C29" s="10">
        <v>4.2916999999999997E-2</v>
      </c>
      <c r="D29" s="10">
        <v>2.9169999999999999E-3</v>
      </c>
      <c r="E29" s="10">
        <v>3.9583E-2</v>
      </c>
      <c r="F29" s="10">
        <v>1.5417E-2</v>
      </c>
      <c r="G29" s="10">
        <v>0.03</v>
      </c>
      <c r="H29" s="10">
        <v>7.9170000000000004E-3</v>
      </c>
      <c r="I29" s="10">
        <v>7.0829999999999999E-3</v>
      </c>
      <c r="J29" s="10">
        <v>-1.0833000000000001E-2</v>
      </c>
      <c r="K29" s="10">
        <v>5.0000000000000001E-3</v>
      </c>
    </row>
    <row r="30" spans="1:28" x14ac:dyDescent="0.3">
      <c r="A30" s="4">
        <v>183.55199999999999</v>
      </c>
      <c r="B30" s="10">
        <v>3.4583000000000003E-2</v>
      </c>
      <c r="C30" s="10">
        <v>2.5832999999999998E-2</v>
      </c>
      <c r="D30" s="10">
        <v>-1.25E-3</v>
      </c>
      <c r="E30" s="10">
        <v>3.7082999999999998E-2</v>
      </c>
      <c r="F30" s="10">
        <v>2.5416999999999999E-2</v>
      </c>
      <c r="G30" s="10">
        <v>3.125E-2</v>
      </c>
      <c r="H30" s="10">
        <v>6.6670000000000002E-3</v>
      </c>
      <c r="I30" s="10">
        <v>4.1669999999999997E-3</v>
      </c>
      <c r="J30" s="10">
        <v>-2.0417000000000001E-2</v>
      </c>
      <c r="K30" s="10">
        <v>2.5000000000000001E-3</v>
      </c>
    </row>
    <row r="31" spans="1:28" x14ac:dyDescent="0.3">
      <c r="A31" s="4">
        <v>204.99599999999998</v>
      </c>
      <c r="B31" s="10">
        <v>5.1249999999999997E-2</v>
      </c>
      <c r="C31" s="10">
        <v>4.2500000000000003E-2</v>
      </c>
      <c r="D31" s="10">
        <v>2.0417000000000001E-2</v>
      </c>
      <c r="E31" s="10">
        <v>6.8333000000000005E-2</v>
      </c>
      <c r="F31" s="10">
        <v>2.7917000000000001E-2</v>
      </c>
      <c r="G31" s="10">
        <v>3.9583E-2</v>
      </c>
      <c r="H31" s="10">
        <v>1.8749999999999999E-2</v>
      </c>
      <c r="I31" s="10">
        <v>1.5417E-2</v>
      </c>
      <c r="J31" s="10">
        <v>-1.5417E-2</v>
      </c>
      <c r="K31" s="10">
        <v>1.7916999999999999E-2</v>
      </c>
    </row>
    <row r="32" spans="1:28" x14ac:dyDescent="0.3">
      <c r="S32" s="10"/>
      <c r="T32" s="10"/>
      <c r="U32" s="10"/>
      <c r="V32" s="10"/>
      <c r="W32" s="10"/>
      <c r="X32" s="10"/>
      <c r="Y32" s="10"/>
      <c r="Z32" s="10"/>
      <c r="AA32" s="10"/>
      <c r="AB32" s="10"/>
    </row>
    <row r="33" spans="1:28" x14ac:dyDescent="0.3">
      <c r="S33" s="10"/>
      <c r="T33" s="10"/>
      <c r="U33" s="10"/>
      <c r="V33" s="10"/>
      <c r="W33" s="10"/>
      <c r="X33" s="10"/>
      <c r="Y33" s="10"/>
      <c r="Z33" s="10"/>
      <c r="AA33" s="10"/>
      <c r="AB33" s="10"/>
    </row>
    <row r="34" spans="1:28" x14ac:dyDescent="0.3">
      <c r="S34" s="10"/>
      <c r="T34" s="10"/>
      <c r="U34" s="10"/>
      <c r="V34" s="10"/>
      <c r="W34" s="10"/>
      <c r="X34" s="10"/>
      <c r="Y34" s="10"/>
      <c r="Z34" s="10"/>
      <c r="AA34" s="10"/>
      <c r="AB34" s="10"/>
    </row>
    <row r="35" spans="1:28" x14ac:dyDescent="0.3">
      <c r="B35" s="10">
        <v>3.5416999999999997E-2</v>
      </c>
      <c r="C35" s="10">
        <v>5.6250000000000001E-2</v>
      </c>
      <c r="D35" s="10">
        <v>3.9583E-2</v>
      </c>
      <c r="E35" s="10">
        <v>8.0833000000000002E-2</v>
      </c>
      <c r="F35" s="10">
        <v>4.4166999999999998E-2</v>
      </c>
      <c r="G35" s="10">
        <v>4.0417000000000002E-2</v>
      </c>
      <c r="H35" s="10">
        <v>2.7082999999999999E-2</v>
      </c>
      <c r="I35" s="10">
        <v>2.7917000000000001E-2</v>
      </c>
      <c r="J35" s="10">
        <v>-1.8749999999999999E-2</v>
      </c>
      <c r="K35" s="10">
        <v>-1.375E-2</v>
      </c>
      <c r="S35" s="10"/>
      <c r="T35" s="10"/>
      <c r="U35" s="10"/>
      <c r="V35" s="10"/>
      <c r="W35" s="10"/>
      <c r="X35" s="10"/>
      <c r="Y35" s="10"/>
      <c r="Z35" s="10"/>
      <c r="AA35" s="10"/>
      <c r="AB35" s="10"/>
    </row>
    <row r="36" spans="1:28" x14ac:dyDescent="0.3">
      <c r="B36" s="10">
        <v>0.03</v>
      </c>
      <c r="C36" s="10">
        <v>3.5000000000000003E-2</v>
      </c>
      <c r="D36" s="10">
        <v>-9.1669999999999998E-3</v>
      </c>
      <c r="E36" s="10">
        <v>-4.17E-4</v>
      </c>
      <c r="F36" s="10">
        <v>-3.2917000000000002E-2</v>
      </c>
      <c r="G36" s="10">
        <v>-1.2917E-2</v>
      </c>
      <c r="H36" s="10">
        <v>9.1669999999999998E-3</v>
      </c>
      <c r="I36" s="10">
        <v>1.7916999999999999E-2</v>
      </c>
      <c r="J36" s="10">
        <v>-2.7082999999999999E-2</v>
      </c>
      <c r="K36" s="10">
        <v>-4.2916999999999997E-2</v>
      </c>
      <c r="S36" s="10"/>
      <c r="T36" s="10"/>
      <c r="U36" s="10"/>
      <c r="V36" s="10"/>
      <c r="W36" s="10"/>
      <c r="X36" s="10"/>
      <c r="Y36" s="10"/>
      <c r="Z36" s="10"/>
      <c r="AA36" s="10"/>
      <c r="AB36" s="10"/>
    </row>
    <row r="37" spans="1:28" x14ac:dyDescent="0.3">
      <c r="B37" s="10">
        <v>6.7917000000000005E-2</v>
      </c>
      <c r="C37" s="10">
        <v>6.5000000000000002E-2</v>
      </c>
      <c r="D37" s="10">
        <v>1.6670000000000001E-3</v>
      </c>
      <c r="E37" s="10">
        <v>-6.2500000000000003E-3</v>
      </c>
      <c r="F37" s="10">
        <v>-2.6667E-2</v>
      </c>
      <c r="G37" s="10">
        <v>-4.17E-4</v>
      </c>
      <c r="H37" s="10">
        <v>1.2917E-2</v>
      </c>
      <c r="I37" s="10">
        <v>1.5417E-2</v>
      </c>
      <c r="J37" s="10">
        <v>-8.3299999999999997E-4</v>
      </c>
      <c r="K37" s="10">
        <v>-1.8332999999999999E-2</v>
      </c>
      <c r="S37" s="10"/>
      <c r="T37" s="10"/>
      <c r="U37" s="10"/>
      <c r="V37" s="10"/>
      <c r="W37" s="10"/>
      <c r="X37" s="10"/>
      <c r="Y37" s="10"/>
      <c r="Z37" s="10"/>
      <c r="AA37" s="10"/>
      <c r="AB37" s="10"/>
    </row>
    <row r="38" spans="1:28" x14ac:dyDescent="0.3">
      <c r="B38" s="10">
        <v>6.8750000000000006E-2</v>
      </c>
      <c r="C38" s="10">
        <v>5.7917000000000003E-2</v>
      </c>
      <c r="D38" s="10">
        <v>1.2917E-2</v>
      </c>
      <c r="E38" s="10">
        <v>2.6667E-2</v>
      </c>
      <c r="F38" s="10">
        <v>-1.0416999999999999E-2</v>
      </c>
      <c r="G38" s="10">
        <v>1.6250000000000001E-2</v>
      </c>
      <c r="H38" s="10">
        <v>2.2917E-2</v>
      </c>
      <c r="I38" s="10">
        <v>2.5832999999999998E-2</v>
      </c>
      <c r="J38" s="10">
        <v>5.4169999999999999E-3</v>
      </c>
      <c r="K38" s="10">
        <v>0.01</v>
      </c>
      <c r="S38" s="10"/>
      <c r="T38" s="10"/>
      <c r="U38" s="10"/>
      <c r="V38" s="10"/>
      <c r="W38" s="10"/>
      <c r="X38" s="10"/>
      <c r="Y38" s="10"/>
      <c r="Z38" s="10"/>
      <c r="AA38" s="10"/>
      <c r="AB38" s="10"/>
    </row>
    <row r="39" spans="1:28" x14ac:dyDescent="0.3">
      <c r="B39" s="10">
        <v>7.9167000000000001E-2</v>
      </c>
      <c r="C39" s="10">
        <v>7.3332999999999995E-2</v>
      </c>
      <c r="D39" s="10">
        <v>3.2917000000000002E-2</v>
      </c>
      <c r="E39" s="10">
        <v>4.9167000000000002E-2</v>
      </c>
      <c r="F39" s="10">
        <v>8.3299999999999997E-4</v>
      </c>
      <c r="G39" s="10">
        <v>1.7083000000000001E-2</v>
      </c>
      <c r="H39" s="10">
        <v>2.3333E-2</v>
      </c>
      <c r="I39" s="10">
        <v>2.2917E-2</v>
      </c>
      <c r="J39" s="10">
        <v>2.5000000000000001E-3</v>
      </c>
      <c r="K39" s="10">
        <v>1.5833E-2</v>
      </c>
      <c r="S39" s="10"/>
      <c r="T39" s="10"/>
      <c r="U39" s="10"/>
      <c r="V39" s="10"/>
      <c r="W39" s="10"/>
      <c r="X39" s="10"/>
      <c r="Y39" s="10"/>
      <c r="Z39" s="10"/>
      <c r="AA39" s="10"/>
      <c r="AB39" s="10"/>
    </row>
    <row r="40" spans="1:28" x14ac:dyDescent="0.3">
      <c r="B40" s="10">
        <v>8.3750000000000005E-2</v>
      </c>
      <c r="C40" s="10">
        <v>7.0416999999999993E-2</v>
      </c>
      <c r="D40" s="10">
        <v>2.8750000000000001E-2</v>
      </c>
      <c r="E40" s="10">
        <v>3.7499999999999999E-2</v>
      </c>
      <c r="F40" s="10">
        <v>-1.1667E-2</v>
      </c>
      <c r="G40" s="10">
        <v>1.4999999999999999E-2</v>
      </c>
      <c r="H40" s="10">
        <v>1.9167E-2</v>
      </c>
      <c r="I40" s="10">
        <v>1.8332999999999999E-2</v>
      </c>
      <c r="J40" s="10">
        <v>0</v>
      </c>
      <c r="K40" s="10">
        <v>1.2083E-2</v>
      </c>
      <c r="S40" s="10"/>
      <c r="T40" s="10"/>
      <c r="U40" s="10"/>
      <c r="V40" s="10"/>
      <c r="W40" s="10"/>
      <c r="X40" s="10"/>
      <c r="Y40" s="10"/>
      <c r="Z40" s="10"/>
      <c r="AA40" s="10"/>
      <c r="AB40" s="10"/>
    </row>
    <row r="41" spans="1:28" x14ac:dyDescent="0.3">
      <c r="B41" s="10">
        <v>7.7917E-2</v>
      </c>
      <c r="C41" s="10">
        <v>7.4582999999999997E-2</v>
      </c>
      <c r="D41" s="10">
        <v>3.0832999999999999E-2</v>
      </c>
      <c r="E41" s="10">
        <v>0.05</v>
      </c>
      <c r="F41" s="10">
        <v>3.333E-3</v>
      </c>
      <c r="G41" s="10">
        <v>2.3333E-2</v>
      </c>
      <c r="H41" s="10">
        <v>2.3333E-2</v>
      </c>
      <c r="I41" s="10">
        <v>1.7083000000000001E-2</v>
      </c>
      <c r="J41" s="10">
        <v>-1.6670000000000001E-3</v>
      </c>
      <c r="K41" s="10">
        <v>1.2083E-2</v>
      </c>
      <c r="S41" s="10"/>
      <c r="T41" s="10"/>
      <c r="U41" s="10"/>
      <c r="V41" s="10"/>
      <c r="W41" s="10"/>
      <c r="X41" s="10"/>
      <c r="Y41" s="10"/>
      <c r="Z41" s="10"/>
      <c r="AA41" s="10"/>
      <c r="AB41" s="10"/>
    </row>
    <row r="42" spans="1:28" x14ac:dyDescent="0.3">
      <c r="A42" s="10"/>
      <c r="B42" s="10">
        <v>7.2499999999999995E-2</v>
      </c>
      <c r="C42" s="10">
        <v>5.8333000000000003E-2</v>
      </c>
      <c r="D42" s="10">
        <v>0.02</v>
      </c>
      <c r="E42" s="10">
        <v>5.4583E-2</v>
      </c>
      <c r="F42" s="10">
        <v>1.3332999999999999E-2</v>
      </c>
      <c r="G42" s="10">
        <v>3.1667000000000001E-2</v>
      </c>
      <c r="H42" s="10">
        <v>2.0417000000000001E-2</v>
      </c>
      <c r="I42" s="10">
        <v>2.2082999999999998E-2</v>
      </c>
      <c r="J42" s="10">
        <v>-1.25E-3</v>
      </c>
      <c r="K42" s="10">
        <v>1.3332999999999999E-2</v>
      </c>
    </row>
    <row r="43" spans="1:28" x14ac:dyDescent="0.3">
      <c r="A43" s="10"/>
      <c r="B43" s="10">
        <v>4.3749999999999997E-2</v>
      </c>
      <c r="C43" s="10">
        <v>3.6249999999999998E-2</v>
      </c>
      <c r="D43" s="10">
        <v>3.333E-3</v>
      </c>
      <c r="E43" s="10">
        <v>4.7083E-2</v>
      </c>
      <c r="F43" s="10">
        <v>0.01</v>
      </c>
      <c r="G43" s="10">
        <v>0.03</v>
      </c>
      <c r="H43" s="10">
        <v>2.375E-2</v>
      </c>
      <c r="I43" s="10">
        <v>1.7916999999999999E-2</v>
      </c>
      <c r="J43" s="10">
        <v>-5.8329999999999996E-3</v>
      </c>
      <c r="K43" s="10">
        <v>1.0833000000000001E-2</v>
      </c>
    </row>
    <row r="44" spans="1:28" x14ac:dyDescent="0.3">
      <c r="A44" s="10"/>
      <c r="B44" s="10">
        <v>5.6667000000000002E-2</v>
      </c>
      <c r="C44" s="10">
        <v>5.0833000000000003E-2</v>
      </c>
      <c r="D44" s="10">
        <v>3.6666999999999998E-2</v>
      </c>
      <c r="E44" s="10">
        <v>7.7917E-2</v>
      </c>
      <c r="F44" s="10">
        <v>2.75E-2</v>
      </c>
      <c r="G44" s="10">
        <v>4.6249999999999999E-2</v>
      </c>
      <c r="H44" s="10">
        <v>3.0417E-2</v>
      </c>
      <c r="I44" s="10">
        <v>2.8750000000000001E-2</v>
      </c>
      <c r="J44" s="10">
        <v>0</v>
      </c>
      <c r="K44" s="10">
        <v>2.2082999999999998E-2</v>
      </c>
    </row>
    <row r="45" spans="1:28" x14ac:dyDescent="0.3">
      <c r="A45" s="10"/>
    </row>
    <row r="46" spans="1:28" x14ac:dyDescent="0.3">
      <c r="A46" s="10"/>
    </row>
    <row r="47" spans="1:28" x14ac:dyDescent="0.3">
      <c r="B47" s="10">
        <v>4.3749999999999997E-2</v>
      </c>
      <c r="C47" s="10">
        <v>3.7499999999999999E-2</v>
      </c>
      <c r="D47" s="10">
        <v>-1.0833000000000001E-2</v>
      </c>
      <c r="E47" s="10">
        <v>3.2083E-2</v>
      </c>
      <c r="F47" s="10">
        <v>8.7500000000000008E-3</v>
      </c>
      <c r="G47" s="10">
        <v>7.0829999999999999E-3</v>
      </c>
      <c r="H47" s="10">
        <v>7.0829999999999999E-3</v>
      </c>
      <c r="I47" s="10">
        <v>1.5833E-2</v>
      </c>
      <c r="J47" s="10">
        <v>-1.2083E-2</v>
      </c>
      <c r="K47" s="10">
        <v>0.01</v>
      </c>
    </row>
    <row r="48" spans="1:28" x14ac:dyDescent="0.3">
      <c r="B48" s="10">
        <v>9.5829999999999995E-3</v>
      </c>
      <c r="C48" s="10">
        <v>4.5830000000000003E-3</v>
      </c>
      <c r="D48" s="10">
        <v>-5.0416999999999997E-2</v>
      </c>
      <c r="E48" s="10">
        <v>-2.5000000000000001E-2</v>
      </c>
      <c r="F48" s="10">
        <v>-3.0417E-2</v>
      </c>
      <c r="G48" s="10">
        <v>-2.0833000000000001E-2</v>
      </c>
      <c r="H48" s="10">
        <v>-2.4583000000000001E-2</v>
      </c>
      <c r="I48" s="10">
        <v>-1.2917E-2</v>
      </c>
      <c r="J48" s="10">
        <v>-4.0833000000000001E-2</v>
      </c>
      <c r="K48" s="10">
        <v>-4.2083000000000002E-2</v>
      </c>
    </row>
    <row r="49" spans="2:11" x14ac:dyDescent="0.3">
      <c r="B49" s="10">
        <v>0.04</v>
      </c>
      <c r="C49" s="10">
        <v>2.75E-2</v>
      </c>
      <c r="D49" s="10">
        <v>-3.0417E-2</v>
      </c>
      <c r="E49" s="10">
        <v>-2.0417000000000001E-2</v>
      </c>
      <c r="F49" s="10">
        <v>-2.5416999999999999E-2</v>
      </c>
      <c r="G49" s="10">
        <v>-7.4999999999999997E-3</v>
      </c>
      <c r="H49" s="10">
        <v>-2.6667E-2</v>
      </c>
      <c r="I49" s="10">
        <v>-1.4167000000000001E-2</v>
      </c>
      <c r="J49" s="10">
        <v>-2.4167000000000001E-2</v>
      </c>
      <c r="K49" s="10">
        <v>-3.3750000000000002E-2</v>
      </c>
    </row>
    <row r="50" spans="2:11" x14ac:dyDescent="0.3">
      <c r="B50" s="10">
        <v>4.0417000000000002E-2</v>
      </c>
      <c r="C50" s="10">
        <v>1.9583E-2</v>
      </c>
      <c r="D50" s="10">
        <v>-2.0833000000000001E-2</v>
      </c>
      <c r="E50" s="10">
        <v>-1.6670000000000001E-3</v>
      </c>
      <c r="F50" s="10">
        <v>-1.2917E-2</v>
      </c>
      <c r="G50" s="10">
        <v>6.6670000000000002E-3</v>
      </c>
      <c r="H50" s="10">
        <v>-1.2500000000000001E-2</v>
      </c>
      <c r="I50" s="10">
        <v>-3.7499999999999999E-3</v>
      </c>
      <c r="J50" s="10">
        <v>-1.7500000000000002E-2</v>
      </c>
      <c r="K50" s="10">
        <v>-5.0000000000000001E-3</v>
      </c>
    </row>
    <row r="51" spans="2:11" x14ac:dyDescent="0.3">
      <c r="B51" s="10">
        <v>5.2082999999999997E-2</v>
      </c>
      <c r="C51" s="10">
        <v>3.7499999999999999E-2</v>
      </c>
      <c r="D51" s="10">
        <v>2.5000000000000001E-3</v>
      </c>
      <c r="E51" s="10">
        <v>1.7500000000000002E-2</v>
      </c>
      <c r="F51" s="10">
        <v>-6.6670000000000002E-3</v>
      </c>
      <c r="G51" s="10">
        <v>7.9170000000000004E-3</v>
      </c>
      <c r="H51" s="10">
        <v>-1.3332999999999999E-2</v>
      </c>
      <c r="I51" s="10">
        <v>-1.4167000000000001E-2</v>
      </c>
      <c r="J51" s="10">
        <v>-0.03</v>
      </c>
      <c r="K51" s="10">
        <v>-1.0833000000000001E-2</v>
      </c>
    </row>
    <row r="52" spans="2:11" x14ac:dyDescent="0.3">
      <c r="B52" s="10">
        <v>5.9166999999999997E-2</v>
      </c>
      <c r="C52" s="10">
        <v>4.2500000000000003E-2</v>
      </c>
      <c r="D52" s="10">
        <v>-8.3299999999999997E-4</v>
      </c>
      <c r="E52" s="10">
        <v>1.4583E-2</v>
      </c>
      <c r="F52" s="10">
        <v>-1.3332999999999999E-2</v>
      </c>
      <c r="G52" s="10">
        <v>5.8329999999999996E-3</v>
      </c>
      <c r="H52" s="10">
        <v>-9.5829999999999995E-3</v>
      </c>
      <c r="I52" s="10">
        <v>-6.6670000000000002E-3</v>
      </c>
      <c r="J52" s="10">
        <v>-2.2499999999999999E-2</v>
      </c>
      <c r="K52" s="10">
        <v>-7.0829999999999999E-3</v>
      </c>
    </row>
    <row r="53" spans="2:11" x14ac:dyDescent="0.3">
      <c r="B53" s="10">
        <v>5.7917000000000003E-2</v>
      </c>
      <c r="C53" s="10">
        <v>4.4999999999999998E-2</v>
      </c>
      <c r="D53" s="10">
        <v>8.3299999999999997E-4</v>
      </c>
      <c r="E53" s="10">
        <v>1.7500000000000002E-2</v>
      </c>
      <c r="F53" s="10">
        <v>-5.4169999999999999E-3</v>
      </c>
      <c r="G53" s="10">
        <v>1.6250000000000001E-2</v>
      </c>
      <c r="H53" s="10">
        <v>-7.9170000000000004E-3</v>
      </c>
      <c r="I53" s="10">
        <v>-1.125E-2</v>
      </c>
      <c r="J53" s="10">
        <v>-2.6249999999999999E-2</v>
      </c>
      <c r="K53" s="10">
        <v>-1.2500000000000001E-2</v>
      </c>
    </row>
    <row r="54" spans="2:11" x14ac:dyDescent="0.3">
      <c r="B54" s="10">
        <v>4.9583000000000002E-2</v>
      </c>
      <c r="C54" s="10">
        <v>0.03</v>
      </c>
      <c r="D54" s="10">
        <v>-1.5833E-2</v>
      </c>
      <c r="E54" s="10">
        <v>1.7083000000000001E-2</v>
      </c>
      <c r="F54" s="10">
        <v>-5.0000000000000001E-3</v>
      </c>
      <c r="G54" s="10">
        <v>1.9583E-2</v>
      </c>
      <c r="H54" s="10">
        <v>-3.7499999999999999E-3</v>
      </c>
      <c r="I54" s="10">
        <v>-2.5000000000000001E-3</v>
      </c>
      <c r="J54" s="10">
        <v>-1.8749999999999999E-2</v>
      </c>
      <c r="K54" s="10">
        <v>1.6670000000000001E-3</v>
      </c>
    </row>
    <row r="55" spans="2:11" x14ac:dyDescent="0.3">
      <c r="B55" s="10">
        <v>3.125E-2</v>
      </c>
      <c r="C55" s="10">
        <v>1.7083000000000001E-2</v>
      </c>
      <c r="D55" s="10">
        <v>-2.2082999999999998E-2</v>
      </c>
      <c r="E55" s="10">
        <v>1.7083000000000001E-2</v>
      </c>
      <c r="F55" s="10">
        <v>4.5830000000000003E-3</v>
      </c>
      <c r="G55" s="10">
        <v>2.1250000000000002E-2</v>
      </c>
      <c r="H55" s="10">
        <v>4.17E-4</v>
      </c>
      <c r="I55" s="10">
        <v>-5.0000000000000001E-3</v>
      </c>
      <c r="J55" s="10">
        <v>-2.6249999999999999E-2</v>
      </c>
      <c r="K55" s="10">
        <v>-8.3299999999999997E-4</v>
      </c>
    </row>
    <row r="56" spans="2:11" x14ac:dyDescent="0.3">
      <c r="B56" s="10">
        <v>3.875E-2</v>
      </c>
      <c r="C56" s="10">
        <v>0.03</v>
      </c>
      <c r="D56" s="10">
        <v>9.5829999999999995E-3</v>
      </c>
      <c r="E56" s="10">
        <v>5.5417000000000001E-2</v>
      </c>
      <c r="F56" s="10">
        <v>2.2499999999999999E-2</v>
      </c>
      <c r="G56" s="10">
        <v>2.8750000000000001E-2</v>
      </c>
      <c r="H56" s="10">
        <v>1.3332999999999999E-2</v>
      </c>
      <c r="I56" s="10">
        <v>9.1669999999999998E-3</v>
      </c>
      <c r="J56" s="10">
        <v>-1.4999999999999999E-2</v>
      </c>
      <c r="K56" s="10">
        <v>1.8749999999999999E-2</v>
      </c>
    </row>
    <row r="59" spans="2:11" x14ac:dyDescent="0.3">
      <c r="F59" t="s">
        <v>149</v>
      </c>
      <c r="G59" s="10">
        <f>AVERAGE(B61:K70)</f>
        <v>4.9499959999999982E-2</v>
      </c>
      <c r="I59" t="s">
        <v>153</v>
      </c>
      <c r="J59" s="4">
        <v>1.611</v>
      </c>
    </row>
    <row r="61" spans="2:11" x14ac:dyDescent="0.3">
      <c r="B61" s="10">
        <v>7.0000000000000007E-2</v>
      </c>
      <c r="C61" s="10">
        <v>7.2499999999999995E-2</v>
      </c>
      <c r="D61" s="10">
        <v>2.2082999999999998E-2</v>
      </c>
      <c r="E61" s="10">
        <v>5.2499999999999998E-2</v>
      </c>
      <c r="F61" s="10">
        <v>1.5417E-2</v>
      </c>
      <c r="G61" s="10">
        <v>2.0833000000000001E-2</v>
      </c>
      <c r="H61" s="10">
        <v>4.3749999999999997E-2</v>
      </c>
      <c r="I61" s="10">
        <v>8.5417000000000007E-2</v>
      </c>
      <c r="J61" s="10">
        <v>5.2082999999999997E-2</v>
      </c>
      <c r="K61" s="10">
        <v>8.5417000000000007E-2</v>
      </c>
    </row>
    <row r="62" spans="2:11" x14ac:dyDescent="0.3">
      <c r="B62" s="10">
        <v>3.9167E-2</v>
      </c>
      <c r="C62" s="10">
        <v>4.1250000000000002E-2</v>
      </c>
      <c r="D62" s="10">
        <v>-1.7500000000000002E-2</v>
      </c>
      <c r="E62" s="10">
        <v>-3.333E-3</v>
      </c>
      <c r="F62" s="10">
        <v>-1.6667000000000001E-2</v>
      </c>
      <c r="G62" s="10">
        <v>1.4167000000000001E-2</v>
      </c>
      <c r="H62" s="10">
        <v>3.3333000000000002E-2</v>
      </c>
      <c r="I62" s="10">
        <v>5.2499999999999998E-2</v>
      </c>
      <c r="J62" s="10">
        <v>3.2083E-2</v>
      </c>
      <c r="K62" s="10">
        <v>3.5832999999999997E-2</v>
      </c>
    </row>
    <row r="63" spans="2:11" x14ac:dyDescent="0.3">
      <c r="B63" s="10">
        <v>6.7917000000000005E-2</v>
      </c>
      <c r="C63" s="10">
        <v>6.4583000000000002E-2</v>
      </c>
      <c r="D63" s="10">
        <v>2.0830000000000002E-3</v>
      </c>
      <c r="E63" s="10">
        <v>5.8329999999999996E-3</v>
      </c>
      <c r="F63" s="10">
        <v>-1.2500000000000001E-2</v>
      </c>
      <c r="G63" s="10">
        <v>0.02</v>
      </c>
      <c r="H63" s="10">
        <v>4.0833000000000001E-2</v>
      </c>
      <c r="I63" s="10">
        <v>5.1249999999999997E-2</v>
      </c>
      <c r="J63" s="10">
        <v>5.2499999999999998E-2</v>
      </c>
      <c r="K63" s="10">
        <v>5.2916999999999999E-2</v>
      </c>
    </row>
    <row r="64" spans="2:11" x14ac:dyDescent="0.3">
      <c r="B64" s="10">
        <v>8.0417000000000002E-2</v>
      </c>
      <c r="C64" s="10">
        <v>6.8750000000000006E-2</v>
      </c>
      <c r="D64" s="10">
        <v>2.4583000000000001E-2</v>
      </c>
      <c r="E64" s="10">
        <v>0.03</v>
      </c>
      <c r="F64" s="10">
        <v>0</v>
      </c>
      <c r="G64" s="10">
        <v>3.2500000000000001E-2</v>
      </c>
      <c r="H64" s="10">
        <v>5.0416999999999997E-2</v>
      </c>
      <c r="I64" s="10">
        <v>7.1666999999999995E-2</v>
      </c>
      <c r="J64" s="10">
        <v>5.4583E-2</v>
      </c>
      <c r="K64" s="10">
        <v>7.9583000000000001E-2</v>
      </c>
    </row>
    <row r="65" spans="1:21" x14ac:dyDescent="0.3">
      <c r="B65" s="10">
        <v>8.7499999999999994E-2</v>
      </c>
      <c r="C65" s="10">
        <v>0.08</v>
      </c>
      <c r="D65" s="10">
        <v>4.0833000000000001E-2</v>
      </c>
      <c r="E65" s="10">
        <v>3.8332999999999999E-2</v>
      </c>
      <c r="F65" s="10">
        <v>3.333E-3</v>
      </c>
      <c r="G65" s="10">
        <v>3.2500000000000001E-2</v>
      </c>
      <c r="H65" s="10">
        <v>4.9167000000000002E-2</v>
      </c>
      <c r="I65" s="10">
        <v>6.7917000000000005E-2</v>
      </c>
      <c r="J65" s="10">
        <v>4.7500000000000001E-2</v>
      </c>
      <c r="K65" s="10">
        <v>7.0416999999999993E-2</v>
      </c>
    </row>
    <row r="66" spans="1:21" x14ac:dyDescent="0.3">
      <c r="B66" s="10">
        <v>9.2499999999999999E-2</v>
      </c>
      <c r="C66" s="10">
        <v>8.2500000000000004E-2</v>
      </c>
      <c r="D66" s="10">
        <v>0.04</v>
      </c>
      <c r="E66" s="10">
        <v>3.7082999999999998E-2</v>
      </c>
      <c r="F66" s="10">
        <v>-3.7499999999999999E-3</v>
      </c>
      <c r="G66" s="10">
        <v>2.4167000000000001E-2</v>
      </c>
      <c r="H66" s="10">
        <v>4.5832999999999999E-2</v>
      </c>
      <c r="I66" s="10">
        <v>7.4999999999999997E-2</v>
      </c>
      <c r="J66" s="10">
        <v>5.3332999999999998E-2</v>
      </c>
      <c r="K66" s="10">
        <v>7.7499999999999999E-2</v>
      </c>
    </row>
    <row r="67" spans="1:21" x14ac:dyDescent="0.3">
      <c r="B67" s="10">
        <v>9.2499999999999999E-2</v>
      </c>
      <c r="C67" s="10">
        <v>8.6249999999999993E-2</v>
      </c>
      <c r="D67" s="10">
        <v>0.04</v>
      </c>
      <c r="E67" s="10">
        <v>4.1250000000000002E-2</v>
      </c>
      <c r="F67" s="10">
        <v>1.0833000000000001E-2</v>
      </c>
      <c r="G67" s="10">
        <v>3.125E-2</v>
      </c>
      <c r="H67" s="10">
        <v>5.0833000000000003E-2</v>
      </c>
      <c r="I67" s="10">
        <v>6.0832999999999998E-2</v>
      </c>
      <c r="J67" s="10">
        <v>4.5416999999999999E-2</v>
      </c>
      <c r="K67" s="10">
        <v>6.8333000000000005E-2</v>
      </c>
    </row>
    <row r="68" spans="1:21" x14ac:dyDescent="0.3">
      <c r="B68" s="10">
        <v>8.5000000000000006E-2</v>
      </c>
      <c r="C68" s="10">
        <v>7.3332999999999995E-2</v>
      </c>
      <c r="D68" s="10">
        <v>3.3750000000000002E-2</v>
      </c>
      <c r="E68" s="10">
        <v>4.3333000000000003E-2</v>
      </c>
      <c r="F68" s="10">
        <v>1.9583E-2</v>
      </c>
      <c r="G68" s="10">
        <v>4.2500000000000003E-2</v>
      </c>
      <c r="H68" s="10">
        <v>5.0833000000000003E-2</v>
      </c>
      <c r="I68" s="10">
        <v>7.2499999999999995E-2</v>
      </c>
      <c r="J68" s="10">
        <v>5.9166999999999997E-2</v>
      </c>
      <c r="K68" s="10">
        <v>8.0417000000000002E-2</v>
      </c>
    </row>
    <row r="69" spans="1:21" x14ac:dyDescent="0.3">
      <c r="B69" s="10">
        <v>6.5417000000000003E-2</v>
      </c>
      <c r="C69" s="10">
        <v>6.2082999999999999E-2</v>
      </c>
      <c r="D69" s="10">
        <v>2.5832999999999998E-2</v>
      </c>
      <c r="E69" s="10">
        <v>4.3333000000000003E-2</v>
      </c>
      <c r="F69" s="10">
        <v>2.4583000000000001E-2</v>
      </c>
      <c r="G69" s="10">
        <v>4.8750000000000002E-2</v>
      </c>
      <c r="H69" s="10">
        <v>6.25E-2</v>
      </c>
      <c r="I69" s="10">
        <v>7.0000000000000007E-2</v>
      </c>
      <c r="J69" s="10">
        <v>5.3332999999999998E-2</v>
      </c>
      <c r="K69" s="10">
        <v>8.6666999999999994E-2</v>
      </c>
    </row>
    <row r="70" spans="1:21" x14ac:dyDescent="0.3">
      <c r="B70" s="10">
        <v>7.5416999999999998E-2</v>
      </c>
      <c r="C70" s="10">
        <v>7.4166999999999997E-2</v>
      </c>
      <c r="D70" s="10">
        <v>5.5833000000000001E-2</v>
      </c>
      <c r="E70" s="10">
        <v>7.6249999999999998E-2</v>
      </c>
      <c r="F70" s="10">
        <v>3.1667000000000001E-2</v>
      </c>
      <c r="G70" s="10">
        <v>6.5833000000000003E-2</v>
      </c>
      <c r="H70" s="10">
        <v>7.4582999999999997E-2</v>
      </c>
      <c r="I70" s="10">
        <v>8.4167000000000006E-2</v>
      </c>
      <c r="J70" s="10">
        <v>6.6667000000000004E-2</v>
      </c>
      <c r="K70" s="10">
        <v>0.104583</v>
      </c>
    </row>
    <row r="72" spans="1:21" x14ac:dyDescent="0.3">
      <c r="T72">
        <v>0.122</v>
      </c>
      <c r="U72" t="s">
        <v>150</v>
      </c>
    </row>
    <row r="73" spans="1:21" x14ac:dyDescent="0.3">
      <c r="I73" t="s">
        <v>151</v>
      </c>
      <c r="J73" s="10">
        <v>1.49</v>
      </c>
    </row>
    <row r="74" spans="1:21" x14ac:dyDescent="0.3">
      <c r="A74" s="4" t="s">
        <v>148</v>
      </c>
      <c r="B74" s="4">
        <v>27</v>
      </c>
      <c r="C74" s="4">
        <v>47.332999999999998</v>
      </c>
      <c r="D74" s="4">
        <v>67.665999999999997</v>
      </c>
      <c r="E74" s="4">
        <v>87.998999999999995</v>
      </c>
      <c r="F74" s="4">
        <v>108.33199999999999</v>
      </c>
      <c r="G74" s="4">
        <v>128.66499999999999</v>
      </c>
      <c r="H74" s="4">
        <v>148.99799999999999</v>
      </c>
      <c r="I74" s="4">
        <v>169.33099999999999</v>
      </c>
      <c r="J74" s="4">
        <v>189.66399999999999</v>
      </c>
      <c r="K74" s="4">
        <v>209.99699999999999</v>
      </c>
    </row>
    <row r="75" spans="1:21" x14ac:dyDescent="0.3">
      <c r="A75" s="4">
        <v>12</v>
      </c>
      <c r="B75" s="10">
        <f t="shared" ref="B75:K75" si="0">B61-$G$59</f>
        <v>2.0500040000000025E-2</v>
      </c>
      <c r="C75" s="10">
        <f t="shared" si="0"/>
        <v>2.3000040000000013E-2</v>
      </c>
      <c r="D75" s="10">
        <f t="shared" si="0"/>
        <v>-2.7416959999999983E-2</v>
      </c>
      <c r="E75" s="10">
        <f t="shared" si="0"/>
        <v>3.0000400000000163E-3</v>
      </c>
      <c r="F75" s="10">
        <f t="shared" si="0"/>
        <v>-3.4082959999999982E-2</v>
      </c>
      <c r="G75" s="10">
        <f t="shared" si="0"/>
        <v>-2.8666959999999981E-2</v>
      </c>
      <c r="H75" s="10">
        <f t="shared" si="0"/>
        <v>-5.7499599999999845E-3</v>
      </c>
      <c r="I75" s="10">
        <f t="shared" si="0"/>
        <v>3.5917040000000025E-2</v>
      </c>
      <c r="J75" s="10">
        <f t="shared" si="0"/>
        <v>2.5830400000000156E-3</v>
      </c>
      <c r="K75" s="10">
        <f t="shared" si="0"/>
        <v>3.5917040000000025E-2</v>
      </c>
    </row>
    <row r="76" spans="1:21" x14ac:dyDescent="0.3">
      <c r="A76" s="4">
        <v>33.444000000000003</v>
      </c>
      <c r="B76" s="10">
        <f t="shared" ref="B76:K76" si="1">B62-$G$59</f>
        <v>-1.0332959999999981E-2</v>
      </c>
      <c r="C76" s="10">
        <f t="shared" si="1"/>
        <v>-8.2499599999999798E-3</v>
      </c>
      <c r="D76" s="10">
        <f t="shared" si="1"/>
        <v>-6.6999959999999983E-2</v>
      </c>
      <c r="E76" s="10">
        <f t="shared" si="1"/>
        <v>-5.2832959999999984E-2</v>
      </c>
      <c r="F76" s="10">
        <f t="shared" si="1"/>
        <v>-6.6166959999999983E-2</v>
      </c>
      <c r="G76" s="10">
        <f t="shared" si="1"/>
        <v>-3.5332959999999983E-2</v>
      </c>
      <c r="H76" s="10">
        <f t="shared" si="1"/>
        <v>-1.616695999999998E-2</v>
      </c>
      <c r="I76" s="10">
        <f t="shared" si="1"/>
        <v>3.0000400000000163E-3</v>
      </c>
      <c r="J76" s="10">
        <f t="shared" si="1"/>
        <v>-1.7416959999999981E-2</v>
      </c>
      <c r="K76" s="10">
        <f t="shared" si="1"/>
        <v>-1.3666959999999985E-2</v>
      </c>
    </row>
    <row r="77" spans="1:21" x14ac:dyDescent="0.3">
      <c r="A77" s="4">
        <v>54.888000000000005</v>
      </c>
      <c r="B77" s="10">
        <f t="shared" ref="B77:K77" si="2">B63-$G$59</f>
        <v>1.8417040000000023E-2</v>
      </c>
      <c r="C77" s="10">
        <f t="shared" si="2"/>
        <v>1.508304000000002E-2</v>
      </c>
      <c r="D77" s="10">
        <f t="shared" si="2"/>
        <v>-4.741695999999998E-2</v>
      </c>
      <c r="E77" s="10">
        <f t="shared" si="2"/>
        <v>-4.3666959999999984E-2</v>
      </c>
      <c r="F77" s="10">
        <f t="shared" si="2"/>
        <v>-6.1999959999999979E-2</v>
      </c>
      <c r="G77" s="10">
        <f t="shared" si="2"/>
        <v>-2.9499959999999981E-2</v>
      </c>
      <c r="H77" s="10">
        <f t="shared" si="2"/>
        <v>-8.6669599999999805E-3</v>
      </c>
      <c r="I77" s="10">
        <f t="shared" si="2"/>
        <v>1.7500400000000152E-3</v>
      </c>
      <c r="J77" s="10">
        <f t="shared" si="2"/>
        <v>3.0000400000000163E-3</v>
      </c>
      <c r="K77" s="10">
        <f t="shared" si="2"/>
        <v>3.417040000000017E-3</v>
      </c>
    </row>
    <row r="78" spans="1:21" x14ac:dyDescent="0.3">
      <c r="A78" s="4">
        <v>76.332000000000008</v>
      </c>
      <c r="B78" s="10">
        <f t="shared" ref="B78:K78" si="3">B64-$G$59</f>
        <v>3.0917040000000021E-2</v>
      </c>
      <c r="C78" s="10">
        <f t="shared" si="3"/>
        <v>1.9250040000000024E-2</v>
      </c>
      <c r="D78" s="10">
        <f t="shared" si="3"/>
        <v>-2.4916959999999981E-2</v>
      </c>
      <c r="E78" s="10">
        <f t="shared" si="3"/>
        <v>-1.9499959999999983E-2</v>
      </c>
      <c r="F78" s="10">
        <f t="shared" si="3"/>
        <v>-4.9499959999999982E-2</v>
      </c>
      <c r="G78" s="10">
        <f t="shared" si="3"/>
        <v>-1.6999959999999981E-2</v>
      </c>
      <c r="H78" s="10">
        <f t="shared" si="3"/>
        <v>9.1704000000001479E-4</v>
      </c>
      <c r="I78" s="10">
        <f t="shared" si="3"/>
        <v>2.2167040000000013E-2</v>
      </c>
      <c r="J78" s="10">
        <f t="shared" si="3"/>
        <v>5.0830400000000178E-3</v>
      </c>
      <c r="K78" s="10">
        <f t="shared" si="3"/>
        <v>3.0083040000000019E-2</v>
      </c>
    </row>
    <row r="79" spans="1:21" x14ac:dyDescent="0.3">
      <c r="A79" s="4">
        <v>97.77600000000001</v>
      </c>
      <c r="B79" s="10">
        <f t="shared" ref="B79:K79" si="4">B65-$G$59</f>
        <v>3.8000040000000013E-2</v>
      </c>
      <c r="C79" s="10">
        <f t="shared" si="4"/>
        <v>3.050004000000002E-2</v>
      </c>
      <c r="D79" s="10">
        <f t="shared" si="4"/>
        <v>-8.6669599999999805E-3</v>
      </c>
      <c r="E79" s="10">
        <f t="shared" si="4"/>
        <v>-1.1166959999999983E-2</v>
      </c>
      <c r="F79" s="10">
        <f t="shared" si="4"/>
        <v>-4.6166959999999979E-2</v>
      </c>
      <c r="G79" s="10">
        <f t="shared" si="4"/>
        <v>-1.6999959999999981E-2</v>
      </c>
      <c r="H79" s="10">
        <f t="shared" si="4"/>
        <v>-3.3295999999997938E-4</v>
      </c>
      <c r="I79" s="10">
        <f t="shared" si="4"/>
        <v>1.8417040000000023E-2</v>
      </c>
      <c r="J79" s="10">
        <f t="shared" si="4"/>
        <v>-1.9999599999999812E-3</v>
      </c>
      <c r="K79" s="10">
        <f t="shared" si="4"/>
        <v>2.0917040000000012E-2</v>
      </c>
    </row>
    <row r="80" spans="1:21" x14ac:dyDescent="0.3">
      <c r="A80" s="4">
        <v>119.22000000000001</v>
      </c>
      <c r="B80" s="10">
        <f t="shared" ref="B80:K80" si="5">B66-$G$59</f>
        <v>4.3000040000000017E-2</v>
      </c>
      <c r="C80" s="10">
        <f t="shared" si="5"/>
        <v>3.3000040000000022E-2</v>
      </c>
      <c r="D80" s="10">
        <f t="shared" si="5"/>
        <v>-9.4999599999999809E-3</v>
      </c>
      <c r="E80" s="10">
        <f t="shared" si="5"/>
        <v>-1.2416959999999984E-2</v>
      </c>
      <c r="F80" s="10">
        <f t="shared" si="5"/>
        <v>-5.3249959999999985E-2</v>
      </c>
      <c r="G80" s="10">
        <f t="shared" si="5"/>
        <v>-2.5332959999999981E-2</v>
      </c>
      <c r="H80" s="10">
        <f t="shared" si="5"/>
        <v>-3.666959999999983E-3</v>
      </c>
      <c r="I80" s="10">
        <f t="shared" si="5"/>
        <v>2.5500040000000015E-2</v>
      </c>
      <c r="J80" s="10">
        <f t="shared" si="5"/>
        <v>3.8330400000000167E-3</v>
      </c>
      <c r="K80" s="10">
        <f t="shared" si="5"/>
        <v>2.8000040000000018E-2</v>
      </c>
    </row>
    <row r="81" spans="1:11" x14ac:dyDescent="0.3">
      <c r="A81" s="4">
        <v>140.66400000000002</v>
      </c>
      <c r="B81" s="10">
        <f t="shared" ref="B81:K81" si="6">B67-$G$59</f>
        <v>4.3000040000000017E-2</v>
      </c>
      <c r="C81" s="10">
        <f t="shared" si="6"/>
        <v>3.6750040000000012E-2</v>
      </c>
      <c r="D81" s="10">
        <f t="shared" si="6"/>
        <v>-9.4999599999999809E-3</v>
      </c>
      <c r="E81" s="10">
        <f t="shared" si="6"/>
        <v>-8.2499599999999798E-3</v>
      </c>
      <c r="F81" s="10">
        <f t="shared" si="6"/>
        <v>-3.8666959999999979E-2</v>
      </c>
      <c r="G81" s="10">
        <f t="shared" si="6"/>
        <v>-1.8249959999999982E-2</v>
      </c>
      <c r="H81" s="10">
        <f t="shared" si="6"/>
        <v>1.3330400000000214E-3</v>
      </c>
      <c r="I81" s="10">
        <f t="shared" si="6"/>
        <v>1.1333040000000016E-2</v>
      </c>
      <c r="J81" s="10">
        <f t="shared" si="6"/>
        <v>-4.0829599999999827E-3</v>
      </c>
      <c r="K81" s="10">
        <f t="shared" si="6"/>
        <v>1.8833040000000023E-2</v>
      </c>
    </row>
    <row r="82" spans="1:11" x14ac:dyDescent="0.3">
      <c r="A82" s="4">
        <v>162.108</v>
      </c>
      <c r="B82" s="10">
        <f t="shared" ref="B82:K82" si="7">B68-$G$59</f>
        <v>3.5500040000000024E-2</v>
      </c>
      <c r="C82" s="10">
        <f t="shared" si="7"/>
        <v>2.3833040000000014E-2</v>
      </c>
      <c r="D82" s="10">
        <f t="shared" si="7"/>
        <v>-1.574995999999998E-2</v>
      </c>
      <c r="E82" s="10">
        <f t="shared" si="7"/>
        <v>-6.1669599999999783E-3</v>
      </c>
      <c r="F82" s="10">
        <f t="shared" si="7"/>
        <v>-2.9916959999999982E-2</v>
      </c>
      <c r="G82" s="10">
        <f t="shared" si="7"/>
        <v>-6.9999599999999787E-3</v>
      </c>
      <c r="H82" s="10">
        <f t="shared" si="7"/>
        <v>1.3330400000000214E-3</v>
      </c>
      <c r="I82" s="10">
        <f t="shared" si="7"/>
        <v>2.3000040000000013E-2</v>
      </c>
      <c r="J82" s="10">
        <f t="shared" si="7"/>
        <v>9.6670400000000156E-3</v>
      </c>
      <c r="K82" s="10">
        <f t="shared" si="7"/>
        <v>3.0917040000000021E-2</v>
      </c>
    </row>
    <row r="83" spans="1:11" x14ac:dyDescent="0.3">
      <c r="A83" s="4">
        <v>183.55199999999999</v>
      </c>
      <c r="B83" s="10">
        <f t="shared" ref="B83:K83" si="8">B69-$G$59</f>
        <v>1.5917040000000021E-2</v>
      </c>
      <c r="C83" s="10">
        <f t="shared" si="8"/>
        <v>1.2583040000000018E-2</v>
      </c>
      <c r="D83" s="10">
        <f t="shared" si="8"/>
        <v>-2.3666959999999983E-2</v>
      </c>
      <c r="E83" s="10">
        <f t="shared" si="8"/>
        <v>-6.1669599999999783E-3</v>
      </c>
      <c r="F83" s="10">
        <f t="shared" si="8"/>
        <v>-2.4916959999999981E-2</v>
      </c>
      <c r="G83" s="10">
        <f t="shared" si="8"/>
        <v>-7.4995999999998009E-4</v>
      </c>
      <c r="H83" s="10">
        <f t="shared" si="8"/>
        <v>1.3000040000000018E-2</v>
      </c>
      <c r="I83" s="10">
        <f t="shared" si="8"/>
        <v>2.0500040000000025E-2</v>
      </c>
      <c r="J83" s="10">
        <f t="shared" si="8"/>
        <v>3.8330400000000167E-3</v>
      </c>
      <c r="K83" s="10">
        <f t="shared" si="8"/>
        <v>3.7167040000000012E-2</v>
      </c>
    </row>
    <row r="84" spans="1:11" x14ac:dyDescent="0.3">
      <c r="A84" s="4">
        <v>204.99599999999998</v>
      </c>
      <c r="B84" s="10">
        <f t="shared" ref="B84:K84" si="9">B70-$G$59</f>
        <v>2.5917040000000016E-2</v>
      </c>
      <c r="C84" s="10">
        <f t="shared" si="9"/>
        <v>2.4667040000000015E-2</v>
      </c>
      <c r="D84" s="10">
        <f t="shared" si="9"/>
        <v>6.3330400000000189E-3</v>
      </c>
      <c r="E84" s="10">
        <f t="shared" si="9"/>
        <v>2.6750040000000017E-2</v>
      </c>
      <c r="F84" s="10">
        <f t="shared" si="9"/>
        <v>-1.7832959999999981E-2</v>
      </c>
      <c r="G84" s="10">
        <f t="shared" si="9"/>
        <v>1.6333040000000021E-2</v>
      </c>
      <c r="H84" s="10">
        <f t="shared" si="9"/>
        <v>2.5083040000000015E-2</v>
      </c>
      <c r="I84" s="10">
        <f t="shared" si="9"/>
        <v>3.4667040000000024E-2</v>
      </c>
      <c r="J84" s="10">
        <f t="shared" si="9"/>
        <v>1.7167040000000022E-2</v>
      </c>
      <c r="K84" s="10">
        <f t="shared" si="9"/>
        <v>5.5083040000000014E-2</v>
      </c>
    </row>
    <row r="85" spans="1:11" x14ac:dyDescent="0.3">
      <c r="B85" s="10"/>
      <c r="C85" s="10"/>
      <c r="D85" s="10"/>
      <c r="E85" s="10"/>
      <c r="F85" s="10"/>
      <c r="G85" s="10"/>
      <c r="H85" s="10"/>
      <c r="I85" s="10"/>
      <c r="J85" s="10"/>
      <c r="K85" s="10"/>
    </row>
    <row r="86" spans="1:11" x14ac:dyDescent="0.3">
      <c r="B86" s="10"/>
    </row>
    <row r="87" spans="1:11" x14ac:dyDescent="0.3">
      <c r="B87" s="10"/>
    </row>
    <row r="88" spans="1:11" x14ac:dyDescent="0.3">
      <c r="B88" s="10"/>
    </row>
    <row r="89" spans="1:11" x14ac:dyDescent="0.3">
      <c r="B89" s="10"/>
    </row>
  </sheetData>
  <conditionalFormatting sqref="B9:K18">
    <cfRule type="colorScale" priority="9">
      <colorScale>
        <cfvo type="num" val="-0.15"/>
        <cfvo type="num" val="0"/>
        <cfvo type="num" val="0.15"/>
        <color rgb="FF00B0F0"/>
        <color theme="0"/>
        <color rgb="FFFF0000"/>
      </colorScale>
    </cfRule>
  </conditionalFormatting>
  <conditionalFormatting sqref="C17:K18">
    <cfRule type="colorScale" priority="8">
      <colorScale>
        <cfvo type="num" val="-0.1"/>
        <cfvo type="num" val="0"/>
        <cfvo type="num" val="0.1"/>
        <color rgb="FF00B0F0"/>
        <color theme="0"/>
        <color rgb="FFFF0000"/>
      </colorScale>
    </cfRule>
  </conditionalFormatting>
  <conditionalFormatting sqref="S32:AB41">
    <cfRule type="colorScale" priority="6">
      <colorScale>
        <cfvo type="num" val="-0.3"/>
        <cfvo type="num" val="0"/>
        <cfvo type="num" val="0.3"/>
        <color rgb="FF00B0F0"/>
        <color theme="0"/>
        <color rgb="FFFF0000"/>
      </colorScale>
    </cfRule>
    <cfRule type="colorScale" priority="7">
      <colorScale>
        <cfvo type="num" val="-0.3"/>
        <cfvo type="percentile" val="50"/>
        <cfvo type="max"/>
        <color rgb="FFF8696B"/>
        <color rgb="FFFFEB84"/>
        <color rgb="FF63BE7B"/>
      </colorScale>
    </cfRule>
  </conditionalFormatting>
  <conditionalFormatting sqref="B22:K31">
    <cfRule type="colorScale" priority="5">
      <colorScale>
        <cfvo type="num" val="-0.15"/>
        <cfvo type="num" val="0"/>
        <cfvo type="num" val="0.15"/>
        <color rgb="FF00B0F0"/>
        <color theme="0"/>
        <color rgb="FFFF0000"/>
      </colorScale>
    </cfRule>
  </conditionalFormatting>
  <conditionalFormatting sqref="B35:K44">
    <cfRule type="colorScale" priority="4">
      <colorScale>
        <cfvo type="num" val="-0.15"/>
        <cfvo type="num" val="0"/>
        <cfvo type="num" val="0.15"/>
        <color rgb="FF00B0F0"/>
        <color theme="0"/>
        <color rgb="FFFF0000"/>
      </colorScale>
    </cfRule>
  </conditionalFormatting>
  <conditionalFormatting sqref="B47:K56">
    <cfRule type="colorScale" priority="3">
      <colorScale>
        <cfvo type="num" val="-0.15"/>
        <cfvo type="num" val="0"/>
        <cfvo type="num" val="0.15"/>
        <color rgb="FF00B0F0"/>
        <color theme="0"/>
        <color rgb="FFFF0000"/>
      </colorScale>
    </cfRule>
  </conditionalFormatting>
  <conditionalFormatting sqref="B61:K70">
    <cfRule type="colorScale" priority="2">
      <colorScale>
        <cfvo type="num" val="-0.15"/>
        <cfvo type="num" val="0"/>
        <cfvo type="num" val="0.15"/>
        <color rgb="FF00B0F0"/>
        <color theme="0"/>
        <color rgb="FFFF0000"/>
      </colorScale>
    </cfRule>
  </conditionalFormatting>
  <conditionalFormatting sqref="B75:K85">
    <cfRule type="colorScale" priority="1">
      <colorScale>
        <cfvo type="num" val="-0.15"/>
        <cfvo type="num" val="0"/>
        <cfvo type="num" val="0.15"/>
        <color rgb="FF00B0F0"/>
        <color theme="0"/>
        <color rgb="FFFF0000"/>
      </colorScale>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5F32-0C58-41BD-ABB5-65A1B86958E0}">
  <sheetPr codeName="Sheet2"/>
  <dimension ref="A15:S336"/>
  <sheetViews>
    <sheetView topLeftCell="D64" zoomScaleNormal="100" workbookViewId="0">
      <selection activeCell="J57" sqref="J57"/>
    </sheetView>
  </sheetViews>
  <sheetFormatPr defaultRowHeight="14.4" x14ac:dyDescent="0.3"/>
  <cols>
    <col min="1" max="1" width="25.33203125" customWidth="1"/>
    <col min="2" max="2" width="10.6640625" customWidth="1"/>
    <col min="3" max="3" width="10.33203125" customWidth="1"/>
    <col min="4" max="4" width="10.44140625" customWidth="1"/>
    <col min="5" max="5" width="16.21875" customWidth="1"/>
    <col min="6" max="6" width="9" customWidth="1"/>
    <col min="7" max="7" width="12.88671875" customWidth="1"/>
    <col min="8" max="8" width="10.109375" customWidth="1"/>
    <col min="9" max="9" width="10.33203125" customWidth="1"/>
    <col min="10" max="10" width="12" customWidth="1"/>
    <col min="11" max="11" width="11" customWidth="1"/>
    <col min="12" max="12" width="13.6640625" bestFit="1" customWidth="1"/>
    <col min="13" max="13" width="14.88671875" customWidth="1"/>
    <col min="14" max="14" width="16.33203125" customWidth="1"/>
    <col min="15" max="15" width="19.109375" customWidth="1"/>
    <col min="16" max="16" width="13.6640625" bestFit="1" customWidth="1"/>
  </cols>
  <sheetData>
    <row r="15" spans="1:1" x14ac:dyDescent="0.3">
      <c r="A15" s="5"/>
    </row>
    <row r="16" spans="1:1" x14ac:dyDescent="0.3">
      <c r="A16" s="4" t="s">
        <v>137</v>
      </c>
    </row>
    <row r="17" spans="1:14" x14ac:dyDescent="0.3">
      <c r="A17" s="4" t="s">
        <v>45</v>
      </c>
    </row>
    <row r="18" spans="1:14" x14ac:dyDescent="0.3">
      <c r="A18" t="s">
        <v>32</v>
      </c>
      <c r="B18" t="s">
        <v>43</v>
      </c>
    </row>
    <row r="19" spans="1:14" x14ac:dyDescent="0.3">
      <c r="A19" s="4" t="s">
        <v>32</v>
      </c>
      <c r="B19" s="4" t="s">
        <v>31</v>
      </c>
      <c r="C19" t="s">
        <v>29</v>
      </c>
    </row>
    <row r="20" spans="1:14" x14ac:dyDescent="0.3">
      <c r="A20" t="s">
        <v>21</v>
      </c>
      <c r="B20" t="s">
        <v>17</v>
      </c>
      <c r="C20" t="s">
        <v>20</v>
      </c>
      <c r="K20" t="s">
        <v>19</v>
      </c>
      <c r="L20" t="s">
        <v>24</v>
      </c>
      <c r="M20" t="s">
        <v>38</v>
      </c>
      <c r="N20" t="s">
        <v>25</v>
      </c>
    </row>
    <row r="21" spans="1:14" x14ac:dyDescent="0.3">
      <c r="A21" s="4"/>
      <c r="B21" s="5">
        <v>27</v>
      </c>
      <c r="C21" s="5">
        <v>47.333333333333329</v>
      </c>
      <c r="D21" s="5">
        <v>67.666666666666657</v>
      </c>
      <c r="E21" s="5">
        <v>87.999999999999986</v>
      </c>
      <c r="F21" s="5">
        <v>108.33333333333331</v>
      </c>
      <c r="G21" s="5">
        <v>128.66666666666666</v>
      </c>
      <c r="H21" s="5">
        <v>149</v>
      </c>
      <c r="I21" s="5">
        <v>169.33333333333334</v>
      </c>
      <c r="J21" s="5">
        <v>189.66666666666669</v>
      </c>
      <c r="K21" s="5">
        <v>210</v>
      </c>
    </row>
    <row r="22" spans="1:14" x14ac:dyDescent="0.3">
      <c r="A22" s="5">
        <v>12</v>
      </c>
      <c r="B22" s="1">
        <v>2.0500040000000025E-2</v>
      </c>
      <c r="C22" s="1">
        <v>2.3000040000000013E-2</v>
      </c>
      <c r="D22" s="1">
        <v>-2.7416959999999983E-2</v>
      </c>
      <c r="E22" s="1">
        <v>3.0000400000000163E-3</v>
      </c>
      <c r="F22" s="1">
        <v>-3.4082959999999982E-2</v>
      </c>
      <c r="G22" s="1">
        <v>-2.8666959999999981E-2</v>
      </c>
      <c r="H22" s="1">
        <v>-5.7499599999999845E-3</v>
      </c>
      <c r="I22" s="1">
        <v>3.5917040000000025E-2</v>
      </c>
      <c r="J22" s="1">
        <v>2.5830400000000156E-3</v>
      </c>
      <c r="K22" s="1">
        <v>3.5917040000000025E-2</v>
      </c>
      <c r="L22">
        <f>SLOPE(B22:K22,$B$21:$K$21)</f>
        <v>8.6935916542473963E-5</v>
      </c>
      <c r="M22">
        <f>L22*($K$21-$B$21)</f>
        <v>1.5909272727272734E-2</v>
      </c>
      <c r="N22">
        <f t="shared" ref="N22:N31" si="0">AVERAGE(B22:K22)</f>
        <v>2.5000400000000193E-3</v>
      </c>
    </row>
    <row r="23" spans="1:14" x14ac:dyDescent="0.3">
      <c r="A23" s="5">
        <v>33.444444444444443</v>
      </c>
      <c r="B23" s="1">
        <v>-1.0332959999999981E-2</v>
      </c>
      <c r="C23" s="1">
        <v>-8.2499599999999798E-3</v>
      </c>
      <c r="D23" s="1">
        <v>-6.6999959999999983E-2</v>
      </c>
      <c r="E23" s="1">
        <v>-5.2832959999999984E-2</v>
      </c>
      <c r="F23" s="1">
        <v>-6.6166959999999983E-2</v>
      </c>
      <c r="G23" s="1">
        <v>-3.5332959999999983E-2</v>
      </c>
      <c r="H23" s="1">
        <v>-1.616695999999998E-2</v>
      </c>
      <c r="I23" s="1">
        <v>3.0000400000000163E-3</v>
      </c>
      <c r="J23" s="1">
        <v>-1.7416959999999981E-2</v>
      </c>
      <c r="K23" s="1">
        <v>-1.3666959999999985E-2</v>
      </c>
      <c r="L23">
        <f t="shared" ref="L23:L31" si="1">SLOPE(B23:K23,$B$21:$K$21)</f>
        <v>1.182286140089419E-4</v>
      </c>
      <c r="M23">
        <f t="shared" ref="M23:M31" si="2">L23*($K$21-$B$21)</f>
        <v>2.1635836363636366E-2</v>
      </c>
      <c r="N23">
        <f t="shared" si="0"/>
        <v>-2.8416659999999982E-2</v>
      </c>
    </row>
    <row r="24" spans="1:14" x14ac:dyDescent="0.3">
      <c r="A24" s="5">
        <v>54.888888888888886</v>
      </c>
      <c r="B24" s="1">
        <v>1.8417040000000023E-2</v>
      </c>
      <c r="C24" s="1">
        <v>1.508304000000002E-2</v>
      </c>
      <c r="D24" s="1">
        <v>-4.741695999999998E-2</v>
      </c>
      <c r="E24" s="1">
        <v>-4.3666959999999984E-2</v>
      </c>
      <c r="F24" s="1">
        <v>-6.1999959999999979E-2</v>
      </c>
      <c r="G24" s="1">
        <v>-2.9499959999999981E-2</v>
      </c>
      <c r="H24" s="1">
        <v>-8.6669599999999805E-3</v>
      </c>
      <c r="I24" s="1">
        <v>1.7500400000000152E-3</v>
      </c>
      <c r="J24" s="1">
        <v>3.0000400000000163E-3</v>
      </c>
      <c r="K24" s="1">
        <v>3.417040000000017E-3</v>
      </c>
      <c r="L24">
        <f t="shared" si="1"/>
        <v>4.8808941877794363E-5</v>
      </c>
      <c r="M24">
        <f t="shared" si="2"/>
        <v>8.9320363636363684E-3</v>
      </c>
      <c r="N24">
        <f t="shared" si="0"/>
        <v>-1.4958359999999985E-2</v>
      </c>
    </row>
    <row r="25" spans="1:14" x14ac:dyDescent="0.3">
      <c r="A25" s="5">
        <v>76.333333333333329</v>
      </c>
      <c r="B25" s="1">
        <v>3.0917040000000021E-2</v>
      </c>
      <c r="C25" s="1">
        <v>1.9250040000000024E-2</v>
      </c>
      <c r="D25" s="1">
        <v>-2.4916959999999981E-2</v>
      </c>
      <c r="E25" s="1">
        <v>-1.9499959999999983E-2</v>
      </c>
      <c r="F25" s="1">
        <v>-4.9499959999999982E-2</v>
      </c>
      <c r="G25" s="1">
        <v>-1.6999959999999981E-2</v>
      </c>
      <c r="H25" s="1">
        <v>9.1704000000001479E-4</v>
      </c>
      <c r="I25" s="1">
        <v>2.2167040000000013E-2</v>
      </c>
      <c r="J25" s="1">
        <v>5.0830400000000178E-3</v>
      </c>
      <c r="K25" s="1">
        <v>3.0083040000000019E-2</v>
      </c>
      <c r="L25">
        <f t="shared" si="1"/>
        <v>6.631773472429213E-5</v>
      </c>
      <c r="M25">
        <f t="shared" si="2"/>
        <v>1.213614545454546E-2</v>
      </c>
      <c r="N25">
        <f t="shared" si="0"/>
        <v>-2.499599999999817E-4</v>
      </c>
    </row>
    <row r="26" spans="1:14" x14ac:dyDescent="0.3">
      <c r="A26" s="5">
        <v>97.777777777777771</v>
      </c>
      <c r="B26" s="1">
        <v>3.8000040000000013E-2</v>
      </c>
      <c r="C26" s="1">
        <v>3.050004000000002E-2</v>
      </c>
      <c r="D26" s="1">
        <v>-8.6669599999999805E-3</v>
      </c>
      <c r="E26" s="1">
        <v>-1.1166959999999983E-2</v>
      </c>
      <c r="F26" s="1">
        <v>-4.6166959999999979E-2</v>
      </c>
      <c r="G26" s="1">
        <v>-1.6999959999999981E-2</v>
      </c>
      <c r="H26" s="1">
        <v>-3.3295999999997938E-4</v>
      </c>
      <c r="I26" s="1">
        <v>1.8417040000000023E-2</v>
      </c>
      <c r="J26" s="1">
        <v>-1.9999599999999812E-3</v>
      </c>
      <c r="K26" s="1">
        <v>2.0917040000000012E-2</v>
      </c>
      <c r="L26">
        <f t="shared" si="1"/>
        <v>-5.4890611028315901E-5</v>
      </c>
      <c r="M26">
        <f t="shared" si="2"/>
        <v>-1.004498181818181E-2</v>
      </c>
      <c r="N26">
        <f t="shared" si="0"/>
        <v>2.2500400000000182E-3</v>
      </c>
    </row>
    <row r="27" spans="1:14" x14ac:dyDescent="0.3">
      <c r="A27" s="5">
        <v>119.22222222222221</v>
      </c>
      <c r="B27" s="1">
        <v>4.3000040000000017E-2</v>
      </c>
      <c r="C27" s="1">
        <v>3.3000040000000022E-2</v>
      </c>
      <c r="D27" s="1">
        <v>-9.4999599999999809E-3</v>
      </c>
      <c r="E27" s="1">
        <v>-1.2416959999999984E-2</v>
      </c>
      <c r="F27" s="1">
        <v>-5.3249959999999985E-2</v>
      </c>
      <c r="G27" s="1">
        <v>-2.5332959999999981E-2</v>
      </c>
      <c r="H27" s="1">
        <v>-3.666959999999983E-3</v>
      </c>
      <c r="I27" s="1">
        <v>2.5500040000000015E-2</v>
      </c>
      <c r="J27" s="1">
        <v>3.8330400000000167E-3</v>
      </c>
      <c r="K27" s="1">
        <v>2.8000040000000018E-2</v>
      </c>
      <c r="L27">
        <f t="shared" si="1"/>
        <v>-3.2787481371087884E-5</v>
      </c>
      <c r="M27">
        <f t="shared" si="2"/>
        <v>-6.0001090909090832E-3</v>
      </c>
      <c r="N27">
        <f t="shared" si="0"/>
        <v>2.9166400000000168E-3</v>
      </c>
    </row>
    <row r="28" spans="1:14" x14ac:dyDescent="0.3">
      <c r="A28" s="5">
        <v>140.66666666666666</v>
      </c>
      <c r="B28" s="1">
        <v>4.3000040000000017E-2</v>
      </c>
      <c r="C28" s="1">
        <v>3.6750040000000012E-2</v>
      </c>
      <c r="D28" s="1">
        <v>-9.4999599999999809E-3</v>
      </c>
      <c r="E28" s="1">
        <v>-8.2499599999999798E-3</v>
      </c>
      <c r="F28" s="1">
        <v>-3.8666959999999979E-2</v>
      </c>
      <c r="G28" s="1">
        <v>-1.8249959999999982E-2</v>
      </c>
      <c r="H28" s="1">
        <v>1.3330400000000214E-3</v>
      </c>
      <c r="I28" s="1">
        <v>1.1333040000000016E-2</v>
      </c>
      <c r="J28" s="1">
        <v>-4.0829599999999827E-3</v>
      </c>
      <c r="K28" s="1">
        <v>1.8833040000000023E-2</v>
      </c>
      <c r="L28">
        <f t="shared" si="1"/>
        <v>-1.043228017883755E-4</v>
      </c>
      <c r="M28">
        <f t="shared" si="2"/>
        <v>-1.9091072727272718E-2</v>
      </c>
      <c r="N28">
        <f t="shared" si="0"/>
        <v>3.2499400000000193E-3</v>
      </c>
    </row>
    <row r="29" spans="1:14" x14ac:dyDescent="0.3">
      <c r="A29" s="5">
        <v>162.11111111111109</v>
      </c>
      <c r="B29" s="1">
        <v>3.5500040000000024E-2</v>
      </c>
      <c r="C29" s="1">
        <v>2.3833040000000014E-2</v>
      </c>
      <c r="D29" s="1">
        <v>-1.574995999999998E-2</v>
      </c>
      <c r="E29" s="1">
        <v>-6.1669599999999783E-3</v>
      </c>
      <c r="F29" s="1">
        <v>-2.9916959999999982E-2</v>
      </c>
      <c r="G29" s="1">
        <v>-6.9999599999999787E-3</v>
      </c>
      <c r="H29" s="1">
        <v>1.3330400000000214E-3</v>
      </c>
      <c r="I29" s="1">
        <v>2.3000040000000013E-2</v>
      </c>
      <c r="J29" s="1">
        <v>9.6670400000000156E-3</v>
      </c>
      <c r="K29" s="1">
        <v>3.0917040000000021E-2</v>
      </c>
      <c r="L29">
        <f t="shared" si="1"/>
        <v>2.9436065573770508E-5</v>
      </c>
      <c r="M29">
        <f t="shared" si="2"/>
        <v>5.3868000000000032E-3</v>
      </c>
      <c r="N29">
        <f t="shared" si="0"/>
        <v>6.5416400000000196E-3</v>
      </c>
    </row>
    <row r="30" spans="1:14" x14ac:dyDescent="0.3">
      <c r="A30" s="5">
        <v>183.55555555555554</v>
      </c>
      <c r="B30" s="1">
        <v>1.5917040000000021E-2</v>
      </c>
      <c r="C30" s="1">
        <v>1.2583040000000018E-2</v>
      </c>
      <c r="D30" s="1">
        <v>-2.3666959999999983E-2</v>
      </c>
      <c r="E30" s="1">
        <v>-6.1669599999999783E-3</v>
      </c>
      <c r="F30" s="1">
        <v>-2.4916959999999981E-2</v>
      </c>
      <c r="G30" s="1">
        <v>-7.4995999999998009E-4</v>
      </c>
      <c r="H30" s="1">
        <v>1.3000040000000018E-2</v>
      </c>
      <c r="I30" s="1">
        <v>2.0500040000000025E-2</v>
      </c>
      <c r="J30" s="1">
        <v>3.8330400000000167E-3</v>
      </c>
      <c r="K30" s="1">
        <v>3.7167040000000012E-2</v>
      </c>
      <c r="L30">
        <f t="shared" si="1"/>
        <v>1.2891296572280179E-4</v>
      </c>
      <c r="M30">
        <f t="shared" si="2"/>
        <v>2.3591072727272729E-2</v>
      </c>
      <c r="N30">
        <f t="shared" si="0"/>
        <v>4.7499400000000193E-3</v>
      </c>
    </row>
    <row r="31" spans="1:14" x14ac:dyDescent="0.3">
      <c r="A31" s="5">
        <v>205</v>
      </c>
      <c r="B31" s="1">
        <v>2.5917040000000016E-2</v>
      </c>
      <c r="C31" s="1">
        <v>2.4667040000000015E-2</v>
      </c>
      <c r="D31" s="1">
        <v>6.3330400000000189E-3</v>
      </c>
      <c r="E31" s="1">
        <v>2.6750040000000017E-2</v>
      </c>
      <c r="F31" s="1">
        <v>-1.7832959999999981E-2</v>
      </c>
      <c r="G31" s="1">
        <v>1.6333040000000021E-2</v>
      </c>
      <c r="H31" s="1">
        <v>2.5083040000000015E-2</v>
      </c>
      <c r="I31" s="1">
        <v>3.4667040000000024E-2</v>
      </c>
      <c r="J31" s="1">
        <v>1.7167040000000022E-2</v>
      </c>
      <c r="K31" s="1">
        <v>5.5083040000000014E-2</v>
      </c>
      <c r="L31">
        <f t="shared" si="1"/>
        <v>1.1351087928464981E-4</v>
      </c>
      <c r="M31">
        <f t="shared" si="2"/>
        <v>2.0772490909090915E-2</v>
      </c>
      <c r="N31">
        <f t="shared" si="0"/>
        <v>2.1416740000000017E-2</v>
      </c>
    </row>
    <row r="32" spans="1:14" x14ac:dyDescent="0.3">
      <c r="B32" t="s">
        <v>12</v>
      </c>
      <c r="K32" t="s">
        <v>13</v>
      </c>
      <c r="L32">
        <f>AVERAGE(L22:L31)</f>
        <v>4.0015022354694521E-5</v>
      </c>
    </row>
    <row r="33" spans="1:15" x14ac:dyDescent="0.3">
      <c r="A33" t="s">
        <v>25</v>
      </c>
      <c r="B33" t="s">
        <v>42</v>
      </c>
      <c r="C33">
        <f t="shared" ref="C33:K33" si="3">AVERAGE(C22:C31)</f>
        <v>2.1041640000000018E-2</v>
      </c>
      <c r="D33">
        <f t="shared" si="3"/>
        <v>-2.2750159999999981E-2</v>
      </c>
      <c r="E33">
        <f t="shared" si="3"/>
        <v>-1.304175999999998E-2</v>
      </c>
      <c r="F33">
        <f t="shared" si="3"/>
        <v>-4.2250059999999992E-2</v>
      </c>
      <c r="G33">
        <f t="shared" si="3"/>
        <v>-1.624995999999998E-2</v>
      </c>
      <c r="H33">
        <f t="shared" si="3"/>
        <v>7.0824000000001828E-4</v>
      </c>
      <c r="I33">
        <f t="shared" si="3"/>
        <v>1.962514000000002E-2</v>
      </c>
      <c r="J33">
        <f t="shared" si="3"/>
        <v>2.1666400000000174E-3</v>
      </c>
      <c r="K33">
        <f t="shared" si="3"/>
        <v>2.4666740000000013E-2</v>
      </c>
    </row>
    <row r="34" spans="1:15" x14ac:dyDescent="0.3">
      <c r="B34" t="s">
        <v>0</v>
      </c>
      <c r="C34">
        <f>STDEV(B23:K32)</f>
        <v>2.7124459735137513E-2</v>
      </c>
      <c r="K34" t="s">
        <v>37</v>
      </c>
      <c r="L34">
        <f>AVERAGE(L22:L32)</f>
        <v>4.0015022354694521E-5</v>
      </c>
    </row>
    <row r="35" spans="1:15" x14ac:dyDescent="0.3">
      <c r="B35" t="s">
        <v>1</v>
      </c>
      <c r="C35">
        <f>_xlfn.VAR.S(B23:K32)</f>
        <v>7.3573631592309613E-4</v>
      </c>
    </row>
    <row r="36" spans="1:15" x14ac:dyDescent="0.3">
      <c r="B36" t="s">
        <v>33</v>
      </c>
      <c r="C36">
        <f>MAX(B22:K31)</f>
        <v>5.5083040000000014E-2</v>
      </c>
      <c r="N36">
        <f>SLOPE(E24:H24,E21:H21)</f>
        <v>6.7622950819672112E-4</v>
      </c>
      <c r="O36">
        <f>N36*(H21-E21)</f>
        <v>4.1249999999999995E-2</v>
      </c>
    </row>
    <row r="37" spans="1:15" x14ac:dyDescent="0.3">
      <c r="B37" t="s">
        <v>34</v>
      </c>
      <c r="C37">
        <f>MIN(B22:K31)</f>
        <v>-6.6999959999999983E-2</v>
      </c>
    </row>
    <row r="38" spans="1:15" x14ac:dyDescent="0.3">
      <c r="B38" t="s">
        <v>35</v>
      </c>
      <c r="C38">
        <f>C36-C37</f>
        <v>0.122083</v>
      </c>
    </row>
    <row r="39" spans="1:15" x14ac:dyDescent="0.3">
      <c r="B39" t="s">
        <v>50</v>
      </c>
      <c r="C39">
        <f>_xlfn.CONFIDENCE.NORM(0.05,C34,100)</f>
        <v>5.3162964180976371E-3</v>
      </c>
      <c r="D39" t="s">
        <v>51</v>
      </c>
    </row>
    <row r="41" spans="1:15" x14ac:dyDescent="0.3">
      <c r="C41" s="4" t="s">
        <v>14</v>
      </c>
    </row>
    <row r="42" spans="1:15" x14ac:dyDescent="0.3">
      <c r="E42" s="4" t="s">
        <v>3</v>
      </c>
    </row>
    <row r="43" spans="1:15" x14ac:dyDescent="0.3">
      <c r="B43" s="4" t="s">
        <v>27</v>
      </c>
      <c r="E43" s="17">
        <v>52</v>
      </c>
      <c r="F43" s="4" t="s">
        <v>3</v>
      </c>
      <c r="G43" s="4"/>
    </row>
    <row r="44" spans="1:15" x14ac:dyDescent="0.3">
      <c r="B44" s="4" t="s">
        <v>2</v>
      </c>
      <c r="E44" s="17">
        <v>27</v>
      </c>
      <c r="F44" s="4" t="s">
        <v>3</v>
      </c>
      <c r="G44" s="4"/>
    </row>
    <row r="45" spans="1:15" x14ac:dyDescent="0.3">
      <c r="B45" s="4" t="s">
        <v>30</v>
      </c>
      <c r="E45" s="17">
        <v>-20</v>
      </c>
      <c r="F45" s="4" t="s">
        <v>3</v>
      </c>
      <c r="G45" s="4"/>
    </row>
    <row r="46" spans="1:15" x14ac:dyDescent="0.3">
      <c r="B46" s="4" t="s">
        <v>18</v>
      </c>
      <c r="D46" s="6"/>
      <c r="E46" s="17">
        <v>325</v>
      </c>
      <c r="F46" s="4" t="s">
        <v>3</v>
      </c>
      <c r="G46" s="4"/>
    </row>
    <row r="47" spans="1:15" x14ac:dyDescent="0.3">
      <c r="B47" s="4" t="s">
        <v>28</v>
      </c>
      <c r="E47" s="17">
        <v>220</v>
      </c>
      <c r="F47" s="4" t="s">
        <v>3</v>
      </c>
      <c r="G47" s="4"/>
    </row>
    <row r="48" spans="1:15" x14ac:dyDescent="0.3">
      <c r="B48" s="4" t="s">
        <v>117</v>
      </c>
      <c r="E48" s="4">
        <f>E47-E44</f>
        <v>193</v>
      </c>
      <c r="F48" s="4" t="s">
        <v>3</v>
      </c>
      <c r="G48" s="4"/>
    </row>
    <row r="49" spans="1:15" x14ac:dyDescent="0.3">
      <c r="B49" s="4" t="s">
        <v>5</v>
      </c>
      <c r="E49" s="4">
        <f>E44</f>
        <v>27</v>
      </c>
      <c r="F49" s="4">
        <f>F50+E44</f>
        <v>220</v>
      </c>
      <c r="G49" s="4" t="s">
        <v>3</v>
      </c>
    </row>
    <row r="50" spans="1:15" x14ac:dyDescent="0.3">
      <c r="B50" s="4" t="s">
        <v>4</v>
      </c>
      <c r="E50" s="4">
        <f>E49-E44</f>
        <v>0</v>
      </c>
      <c r="F50" s="4">
        <f>E48</f>
        <v>193</v>
      </c>
      <c r="G50" s="4" t="s">
        <v>3</v>
      </c>
    </row>
    <row r="51" spans="1:15" x14ac:dyDescent="0.3">
      <c r="B51" s="4" t="s">
        <v>110</v>
      </c>
      <c r="E51" s="4">
        <f>F50/4</f>
        <v>48.25</v>
      </c>
      <c r="F51" s="4"/>
      <c r="G51" s="4" t="s">
        <v>3</v>
      </c>
    </row>
    <row r="52" spans="1:15" x14ac:dyDescent="0.3">
      <c r="B52" s="4" t="s">
        <v>118</v>
      </c>
      <c r="D52" s="6"/>
      <c r="E52" s="4">
        <f>E47/2</f>
        <v>110</v>
      </c>
    </row>
    <row r="53" spans="1:15" x14ac:dyDescent="0.3">
      <c r="B53" s="4" t="s">
        <v>119</v>
      </c>
      <c r="E53" s="17">
        <v>20</v>
      </c>
    </row>
    <row r="54" spans="1:15" x14ac:dyDescent="0.3">
      <c r="D54" s="6"/>
    </row>
    <row r="55" spans="1:15" x14ac:dyDescent="0.3">
      <c r="A55" t="s">
        <v>40</v>
      </c>
      <c r="G55" s="7"/>
    </row>
    <row r="56" spans="1:15" x14ac:dyDescent="0.3">
      <c r="A56" t="s">
        <v>7</v>
      </c>
      <c r="C56" s="5">
        <f>E52-E53</f>
        <v>90</v>
      </c>
      <c r="D56" s="5">
        <f>C56+$E$53</f>
        <v>110</v>
      </c>
      <c r="E56" s="5">
        <f>D56+$E$53</f>
        <v>130</v>
      </c>
      <c r="F56" s="5"/>
      <c r="G56" s="5"/>
      <c r="H56" s="5"/>
      <c r="I56" s="5"/>
      <c r="J56" s="5"/>
      <c r="K56" s="5"/>
      <c r="L56" s="5"/>
    </row>
    <row r="57" spans="1:15" x14ac:dyDescent="0.3">
      <c r="A57" t="s">
        <v>9</v>
      </c>
      <c r="C57" s="6">
        <f>C56-$C$56</f>
        <v>0</v>
      </c>
      <c r="D57" s="6">
        <f t="shared" ref="D57:E57" si="4">D56-$C$56</f>
        <v>20</v>
      </c>
      <c r="E57" s="6">
        <f t="shared" si="4"/>
        <v>40</v>
      </c>
      <c r="F57" s="6"/>
      <c r="G57" s="6"/>
      <c r="H57" s="6"/>
      <c r="I57" s="6"/>
      <c r="J57" s="6"/>
      <c r="K57" s="6"/>
      <c r="L57" s="6"/>
    </row>
    <row r="58" spans="1:15" x14ac:dyDescent="0.3">
      <c r="A58" t="s">
        <v>116</v>
      </c>
      <c r="C58" s="5">
        <f>C59+$E$49</f>
        <v>27</v>
      </c>
      <c r="D58" s="5">
        <f>D59+$E$49</f>
        <v>75.25</v>
      </c>
      <c r="E58" s="5">
        <f>E59+$E$49</f>
        <v>123.5</v>
      </c>
      <c r="F58" s="5">
        <f>F59+$E$49</f>
        <v>171.75</v>
      </c>
      <c r="G58" s="5">
        <f>G59+$E$49</f>
        <v>220</v>
      </c>
      <c r="H58" s="5"/>
      <c r="I58" s="5"/>
      <c r="J58" s="5"/>
      <c r="K58" s="5"/>
      <c r="L58" s="5"/>
    </row>
    <row r="59" spans="1:15" x14ac:dyDescent="0.3">
      <c r="A59" t="s">
        <v>8</v>
      </c>
      <c r="C59" s="6">
        <v>0</v>
      </c>
      <c r="D59" s="6">
        <f>$C$59+(($E$48)*1)/(5-1)</f>
        <v>48.25</v>
      </c>
      <c r="E59" s="6">
        <f>$C$59+(($E$48)*2)/(5-1)</f>
        <v>96.5</v>
      </c>
      <c r="F59" s="6">
        <f>$C$59+(($E$48)*3)/(5-1)</f>
        <v>144.75</v>
      </c>
      <c r="G59" s="6">
        <f>$C$59+(($E$48)*4)/(5-1)</f>
        <v>193</v>
      </c>
      <c r="H59" s="6"/>
      <c r="I59" s="6"/>
      <c r="J59" s="6"/>
      <c r="K59" s="6"/>
      <c r="L59" s="6"/>
    </row>
    <row r="60" spans="1:15" x14ac:dyDescent="0.3">
      <c r="A60" t="s">
        <v>124</v>
      </c>
      <c r="C60" s="5">
        <f>C59+$E$44+$E$43</f>
        <v>79</v>
      </c>
      <c r="D60" s="5">
        <f>D59+$E$44+$E$43</f>
        <v>127.25</v>
      </c>
      <c r="E60" s="5">
        <f>E59+$E$44+$E$43</f>
        <v>175.5</v>
      </c>
      <c r="F60" s="5">
        <f>F59+$E$44+$E$43</f>
        <v>223.75</v>
      </c>
      <c r="G60" s="5">
        <f>G59+$E$44+$E$43</f>
        <v>272</v>
      </c>
      <c r="H60" s="6"/>
      <c r="I60" s="6"/>
      <c r="J60" s="6"/>
      <c r="K60" s="6"/>
      <c r="L60" s="6"/>
    </row>
    <row r="61" spans="1:15" x14ac:dyDescent="0.3">
      <c r="H61" s="6"/>
      <c r="I61" s="6"/>
      <c r="J61" s="6"/>
      <c r="K61" s="6"/>
      <c r="L61" s="6"/>
    </row>
    <row r="62" spans="1:15" x14ac:dyDescent="0.3">
      <c r="A62" s="4" t="s">
        <v>170</v>
      </c>
    </row>
    <row r="63" spans="1:15" x14ac:dyDescent="0.3">
      <c r="A63" t="s">
        <v>136</v>
      </c>
    </row>
    <row r="64" spans="1:15" x14ac:dyDescent="0.3">
      <c r="O64" t="s">
        <v>26</v>
      </c>
    </row>
    <row r="65" spans="1:16" x14ac:dyDescent="0.3">
      <c r="A65" s="4" t="s">
        <v>41</v>
      </c>
    </row>
    <row r="66" spans="1:16" x14ac:dyDescent="0.3">
      <c r="A66" s="4" t="s">
        <v>123</v>
      </c>
      <c r="B66" s="4" t="s">
        <v>125</v>
      </c>
      <c r="E66" s="4" t="s">
        <v>120</v>
      </c>
      <c r="F66">
        <f>0.04/(F50-E50)</f>
        <v>2.072538860103627E-4</v>
      </c>
      <c r="G66" s="4" t="s">
        <v>121</v>
      </c>
      <c r="H66" t="str">
        <f>FLOOR(ABS((F50-E50)*F66),1)/4  &amp; " h " &amp; TEXT(60*MOD(ABS((F50-E50)*F66), 1)/4, "#0.#") &amp; " min" &amp; IF((F50-E50)*F66 &lt; 0, " CCW", " CW")</f>
        <v>0 h 0.6 min CW</v>
      </c>
      <c r="I66" s="4" t="s">
        <v>122</v>
      </c>
      <c r="J66">
        <f>F66*E46</f>
        <v>6.7357512953367879E-2</v>
      </c>
      <c r="K66" t="str">
        <f>FLOOR(ABS(J66),1)/4  &amp; " h " &amp; TEXT(60*MOD(ABS(J66), 1)/4, "#0.0#") &amp; " min" &amp; IF(J66 &lt; 0, " CCW", " CW")</f>
        <v>0 h 1.01 min CW</v>
      </c>
      <c r="O66" s="3"/>
    </row>
    <row r="67" spans="1:16" x14ac:dyDescent="0.3">
      <c r="A67" t="s">
        <v>126</v>
      </c>
      <c r="K67" s="4"/>
      <c r="L67" s="4"/>
      <c r="M67" s="8"/>
      <c r="N67" s="8"/>
    </row>
    <row r="68" spans="1:16" x14ac:dyDescent="0.3">
      <c r="C68" t="s">
        <v>6</v>
      </c>
      <c r="D68" t="s">
        <v>8</v>
      </c>
      <c r="F68" s="8" t="s">
        <v>36</v>
      </c>
      <c r="H68" s="8" t="s">
        <v>111</v>
      </c>
      <c r="I68" s="8"/>
    </row>
    <row r="69" spans="1:16" x14ac:dyDescent="0.3">
      <c r="C69" t="s">
        <v>114</v>
      </c>
      <c r="D69" t="s">
        <v>115</v>
      </c>
      <c r="F69" s="4" t="s">
        <v>11</v>
      </c>
      <c r="G69">
        <f>SLOPE(G71:G75,F71:F75)</f>
        <v>1.2305699479917128E-4</v>
      </c>
      <c r="I69">
        <f>SLOPE(I71:I75,H71:H75)</f>
        <v>1.3471502588741985E-4</v>
      </c>
      <c r="N69" s="2"/>
    </row>
    <row r="70" spans="1:16" x14ac:dyDescent="0.3">
      <c r="E70" s="5"/>
      <c r="F70" s="4" t="s">
        <v>112</v>
      </c>
      <c r="G70" s="4" t="s">
        <v>113</v>
      </c>
      <c r="H70" s="4" t="s">
        <v>112</v>
      </c>
      <c r="I70" s="4" t="s">
        <v>113</v>
      </c>
      <c r="K70" s="6"/>
    </row>
    <row r="71" spans="1:16" x14ac:dyDescent="0.3">
      <c r="C71" s="19">
        <v>27</v>
      </c>
      <c r="D71" s="19">
        <v>79</v>
      </c>
      <c r="E71" s="13">
        <v>1.7009999999301699</v>
      </c>
      <c r="F71" s="5">
        <f>C71</f>
        <v>27</v>
      </c>
      <c r="G71" s="13">
        <f>E71</f>
        <v>1.7009999999301699</v>
      </c>
      <c r="H71" s="5">
        <f t="shared" ref="H71:I75" si="5">D71</f>
        <v>79</v>
      </c>
      <c r="I71" s="13">
        <f t="shared" si="5"/>
        <v>1.7009999999301699</v>
      </c>
      <c r="K71" s="6"/>
      <c r="N71" s="2"/>
    </row>
    <row r="72" spans="1:16" x14ac:dyDescent="0.3">
      <c r="C72" s="19">
        <v>75.25</v>
      </c>
      <c r="D72" s="19">
        <v>127.25</v>
      </c>
      <c r="E72" s="13">
        <v>1.6289166665961601</v>
      </c>
      <c r="F72" s="4"/>
      <c r="G72" s="13"/>
      <c r="H72" s="5">
        <f t="shared" si="5"/>
        <v>127.25</v>
      </c>
      <c r="I72" s="13">
        <f t="shared" si="5"/>
        <v>1.6289166665961601</v>
      </c>
      <c r="K72" s="6"/>
      <c r="L72" s="6"/>
      <c r="M72" s="6"/>
    </row>
    <row r="73" spans="1:16" x14ac:dyDescent="0.3">
      <c r="C73" s="19">
        <v>123.5</v>
      </c>
      <c r="D73" s="19">
        <v>175.5</v>
      </c>
      <c r="E73" s="13">
        <v>1.6005833332621899</v>
      </c>
      <c r="F73" s="4"/>
      <c r="G73" s="13"/>
      <c r="H73" s="5">
        <f t="shared" si="5"/>
        <v>175.5</v>
      </c>
      <c r="I73" s="13">
        <f t="shared" si="5"/>
        <v>1.6005833332621899</v>
      </c>
      <c r="K73" s="5"/>
      <c r="M73" s="5"/>
    </row>
    <row r="74" spans="1:16" x14ac:dyDescent="0.3">
      <c r="C74" s="19">
        <v>171.75</v>
      </c>
      <c r="D74" s="19">
        <v>223.75</v>
      </c>
      <c r="E74" s="13">
        <v>1.64641666659436</v>
      </c>
      <c r="F74" s="5"/>
      <c r="G74" s="13"/>
      <c r="H74" s="5">
        <f t="shared" si="5"/>
        <v>223.75</v>
      </c>
      <c r="I74" s="13">
        <f t="shared" si="5"/>
        <v>1.64641666659436</v>
      </c>
      <c r="K74" s="5"/>
      <c r="M74" s="5"/>
    </row>
    <row r="75" spans="1:16" x14ac:dyDescent="0.3">
      <c r="C75" s="19">
        <v>220</v>
      </c>
      <c r="D75" s="19">
        <v>272</v>
      </c>
      <c r="E75" s="13">
        <v>1.72474999992641</v>
      </c>
      <c r="F75" s="5">
        <f>C75</f>
        <v>220</v>
      </c>
      <c r="G75" s="13">
        <f>E75</f>
        <v>1.72474999992641</v>
      </c>
      <c r="H75" s="5">
        <f t="shared" si="5"/>
        <v>272</v>
      </c>
      <c r="I75" s="13">
        <f t="shared" si="5"/>
        <v>1.72474999992641</v>
      </c>
      <c r="L75" s="6"/>
      <c r="O75" s="2"/>
    </row>
    <row r="76" spans="1:16" x14ac:dyDescent="0.3">
      <c r="B76" t="s">
        <v>169</v>
      </c>
      <c r="C76" s="5">
        <f>E46</f>
        <v>325</v>
      </c>
      <c r="I76" s="5"/>
      <c r="L76" s="6"/>
    </row>
    <row r="77" spans="1:16" x14ac:dyDescent="0.3">
      <c r="C77" s="4" t="s">
        <v>10</v>
      </c>
      <c r="E77" s="4" t="s">
        <v>127</v>
      </c>
      <c r="G77" s="4">
        <f>G69*(F75-F71)</f>
        <v>2.3749999996240057E-2</v>
      </c>
      <c r="I77" s="4">
        <f>$C$76*I69</f>
        <v>4.3782383413411452E-2</v>
      </c>
      <c r="K77" s="6"/>
      <c r="L77" s="6"/>
      <c r="M77" s="6"/>
      <c r="N77" s="6"/>
      <c r="O77" s="6"/>
      <c r="P77" s="6"/>
    </row>
    <row r="78" spans="1:16" x14ac:dyDescent="0.3">
      <c r="E78" s="4" t="s">
        <v>16</v>
      </c>
      <c r="G78" s="5" t="str">
        <f>FLOOR(ABS(G77),1)/4  &amp; " h " &amp; TEXT(60*MOD(ABS(G77), 1)/4, "#0.#") &amp; " min" &amp; IF(G77 &lt; 0, " CW", " CCW")</f>
        <v>0 h 0.4 min CCW</v>
      </c>
      <c r="I78" s="5" t="str">
        <f>FLOOR(ABS(I77),1)/4  &amp; " h " &amp; TEXT(60*MOD(ABS(I77), 1)/4, "#0.#") &amp; " min" &amp; IF(I77 &lt; 0, " CW", " CCW")</f>
        <v>0 h 0.7 min CCW</v>
      </c>
    </row>
    <row r="79" spans="1:16" x14ac:dyDescent="0.3">
      <c r="E79" s="4" t="s">
        <v>15</v>
      </c>
      <c r="I79" s="4">
        <f>60*MOD(ABS(I77)/4, 1)</f>
        <v>0.65673575120117178</v>
      </c>
    </row>
    <row r="83" spans="2:14" x14ac:dyDescent="0.3">
      <c r="C83" s="4"/>
    </row>
    <row r="84" spans="2:14" x14ac:dyDescent="0.3">
      <c r="D84" s="4"/>
      <c r="E84" s="4"/>
      <c r="F84" s="4"/>
      <c r="G84" s="4"/>
      <c r="K84" s="4"/>
    </row>
    <row r="85" spans="2:14" x14ac:dyDescent="0.3">
      <c r="D85" s="1"/>
      <c r="E85" s="1"/>
      <c r="F85" s="1"/>
      <c r="G85" s="1"/>
    </row>
    <row r="86" spans="2:14" x14ac:dyDescent="0.3">
      <c r="D86" s="6"/>
      <c r="E86" s="6"/>
      <c r="F86" s="6"/>
      <c r="G86" s="6"/>
    </row>
    <row r="88" spans="2:14" ht="77.400000000000006" customHeight="1" x14ac:dyDescent="0.3">
      <c r="B88" s="10"/>
      <c r="C88" s="10"/>
      <c r="D88" s="10"/>
      <c r="E88" s="10"/>
      <c r="F88" s="10"/>
      <c r="G88" s="10"/>
      <c r="H88" s="10"/>
      <c r="I88" s="10"/>
      <c r="J88" s="10"/>
      <c r="K88" s="10"/>
      <c r="L88" s="10"/>
    </row>
    <row r="89" spans="2:14" x14ac:dyDescent="0.3">
      <c r="B89" s="10"/>
      <c r="C89" s="10"/>
      <c r="D89" s="10"/>
      <c r="E89" s="10"/>
      <c r="F89" s="10"/>
      <c r="G89" s="10"/>
      <c r="H89" s="10"/>
      <c r="I89" s="10"/>
      <c r="J89" s="10"/>
      <c r="K89" s="10"/>
      <c r="L89" s="10"/>
    </row>
    <row r="90" spans="2:14" x14ac:dyDescent="0.3">
      <c r="B90" s="10"/>
      <c r="C90" s="10"/>
      <c r="D90" s="10"/>
      <c r="E90" s="10"/>
      <c r="F90" s="10"/>
      <c r="G90" s="10"/>
      <c r="H90" s="10"/>
      <c r="I90" s="10"/>
      <c r="J90" s="10"/>
      <c r="K90" s="10"/>
      <c r="L90" s="10"/>
      <c r="M90" s="5"/>
      <c r="N90" s="5"/>
    </row>
    <row r="91" spans="2:14" x14ac:dyDescent="0.3">
      <c r="B91" s="10"/>
      <c r="C91" s="10"/>
      <c r="D91" s="10"/>
      <c r="E91" s="10"/>
      <c r="F91" s="10"/>
      <c r="G91" s="10"/>
      <c r="H91" s="10"/>
      <c r="I91" s="10"/>
      <c r="J91" s="10"/>
    </row>
    <row r="92" spans="2:14" x14ac:dyDescent="0.3">
      <c r="B92" s="10"/>
      <c r="C92" s="10"/>
      <c r="D92" s="10"/>
      <c r="E92" s="10"/>
      <c r="F92" s="10"/>
      <c r="G92" s="10"/>
      <c r="H92" s="10"/>
      <c r="I92" s="10"/>
      <c r="J92" s="10"/>
    </row>
    <row r="93" spans="2:14" x14ac:dyDescent="0.3">
      <c r="B93" s="10"/>
      <c r="C93" s="10"/>
      <c r="D93" s="10"/>
      <c r="E93" s="10"/>
      <c r="F93" s="10"/>
      <c r="G93" s="10"/>
      <c r="H93" s="10"/>
      <c r="I93" s="10"/>
      <c r="J93" s="10"/>
    </row>
    <row r="94" spans="2:14" x14ac:dyDescent="0.3">
      <c r="B94" s="10"/>
      <c r="C94" s="10"/>
      <c r="D94" s="10"/>
      <c r="E94" s="10"/>
      <c r="F94" s="10"/>
      <c r="G94" s="10"/>
      <c r="H94" s="10"/>
      <c r="I94" s="10"/>
      <c r="J94" s="10"/>
    </row>
    <row r="95" spans="2:14" x14ac:dyDescent="0.3">
      <c r="B95" s="10"/>
      <c r="C95" s="10"/>
      <c r="D95" s="10"/>
      <c r="E95" s="10"/>
      <c r="F95" s="10"/>
      <c r="G95" s="10"/>
      <c r="H95" s="10"/>
      <c r="I95" s="10"/>
      <c r="J95" s="10"/>
    </row>
    <row r="96" spans="2:14" x14ac:dyDescent="0.3">
      <c r="B96" s="10"/>
      <c r="C96" s="10"/>
      <c r="D96" s="10"/>
      <c r="E96" s="10"/>
      <c r="F96" s="10"/>
      <c r="G96" s="10"/>
      <c r="H96" s="10"/>
      <c r="I96" s="10"/>
      <c r="J96" s="10"/>
    </row>
    <row r="97" spans="2:12" x14ac:dyDescent="0.3">
      <c r="B97" s="10"/>
      <c r="C97" s="10"/>
      <c r="D97" s="10"/>
      <c r="E97" s="10"/>
      <c r="F97" s="10"/>
      <c r="G97" s="10"/>
      <c r="H97" s="10"/>
      <c r="I97" s="10"/>
      <c r="J97" s="10"/>
    </row>
    <row r="98" spans="2:12" x14ac:dyDescent="0.3">
      <c r="B98" s="10"/>
      <c r="C98" s="10"/>
      <c r="D98" s="10"/>
      <c r="E98" s="10"/>
      <c r="F98" s="10"/>
      <c r="G98" s="10"/>
      <c r="H98" s="10"/>
      <c r="I98" s="10"/>
      <c r="J98" s="10"/>
    </row>
    <row r="99" spans="2:12" x14ac:dyDescent="0.3">
      <c r="B99" s="10"/>
      <c r="C99" s="10"/>
      <c r="D99" s="10"/>
      <c r="E99" s="10"/>
      <c r="F99" s="10"/>
      <c r="G99" s="10"/>
      <c r="H99" s="10"/>
      <c r="I99" s="10"/>
      <c r="J99" s="10"/>
    </row>
    <row r="100" spans="2:12" x14ac:dyDescent="0.3">
      <c r="B100" s="10"/>
      <c r="C100" s="10"/>
      <c r="D100" s="10"/>
      <c r="E100" s="10"/>
      <c r="F100" s="10"/>
      <c r="G100" s="10"/>
      <c r="H100" s="10"/>
      <c r="I100" s="10"/>
      <c r="J100" s="10"/>
    </row>
    <row r="101" spans="2:12" x14ac:dyDescent="0.3">
      <c r="B101" s="10"/>
      <c r="C101" s="10"/>
      <c r="D101" s="10"/>
      <c r="E101" s="10"/>
      <c r="F101" s="10"/>
      <c r="G101" s="10"/>
      <c r="H101" s="10"/>
      <c r="I101" s="10"/>
      <c r="J101" s="10"/>
      <c r="K101" s="10"/>
      <c r="L101" s="10"/>
    </row>
    <row r="102" spans="2:12" x14ac:dyDescent="0.3">
      <c r="B102" s="10"/>
      <c r="C102" s="10"/>
      <c r="D102" s="10"/>
      <c r="E102" s="10"/>
      <c r="F102" s="10"/>
      <c r="G102" s="10"/>
      <c r="H102" s="10"/>
      <c r="I102" s="10"/>
      <c r="J102" s="10"/>
      <c r="K102" s="10"/>
      <c r="L102" s="10"/>
    </row>
    <row r="103" spans="2:12" x14ac:dyDescent="0.3">
      <c r="B103" s="10"/>
      <c r="C103" s="10"/>
      <c r="D103" s="10"/>
      <c r="E103" s="10"/>
      <c r="F103" s="10"/>
      <c r="G103" s="10"/>
      <c r="H103" s="10"/>
      <c r="I103" s="10"/>
      <c r="J103" s="10"/>
      <c r="K103" s="10"/>
      <c r="L103" s="10"/>
    </row>
    <row r="104" spans="2:12" x14ac:dyDescent="0.3">
      <c r="B104" s="10"/>
      <c r="C104" s="10"/>
      <c r="D104" s="10"/>
      <c r="E104" s="10"/>
      <c r="F104" s="10"/>
      <c r="G104" s="10"/>
      <c r="H104" s="10"/>
      <c r="I104" s="10"/>
      <c r="J104" s="10"/>
      <c r="K104" s="10"/>
      <c r="L104" s="10"/>
    </row>
    <row r="105" spans="2:12" x14ac:dyDescent="0.3">
      <c r="B105" s="10"/>
      <c r="C105" s="10"/>
      <c r="D105" s="10"/>
      <c r="E105" s="10"/>
      <c r="F105" s="10"/>
      <c r="G105" s="10"/>
      <c r="H105" s="10"/>
      <c r="I105" s="10"/>
      <c r="J105" s="10"/>
      <c r="K105" s="10"/>
      <c r="L105" s="10"/>
    </row>
    <row r="106" spans="2:12" x14ac:dyDescent="0.3">
      <c r="B106" s="10"/>
      <c r="C106" s="10"/>
      <c r="D106" s="10"/>
      <c r="E106" s="10"/>
      <c r="F106" s="10"/>
      <c r="G106" s="10"/>
      <c r="H106" s="10"/>
      <c r="I106" s="10"/>
      <c r="J106" s="10"/>
      <c r="K106" s="10"/>
      <c r="L106" s="10"/>
    </row>
    <row r="107" spans="2:12" x14ac:dyDescent="0.3">
      <c r="C107" s="5"/>
      <c r="D107" s="5"/>
      <c r="E107" s="5"/>
      <c r="F107" s="5"/>
      <c r="G107" s="5"/>
      <c r="H107" s="5"/>
      <c r="I107" s="5"/>
      <c r="J107" s="5"/>
      <c r="K107" s="5"/>
      <c r="L107" s="5"/>
    </row>
    <row r="108" spans="2:12" x14ac:dyDescent="0.3">
      <c r="B108" s="5"/>
      <c r="C108" s="10"/>
      <c r="D108" s="10"/>
      <c r="E108" s="10"/>
      <c r="F108" s="10"/>
      <c r="G108" s="10"/>
      <c r="H108" s="10"/>
      <c r="I108" s="10"/>
      <c r="J108" s="10"/>
    </row>
    <row r="109" spans="2:12" x14ac:dyDescent="0.3">
      <c r="B109" s="5"/>
      <c r="C109" s="10"/>
      <c r="D109" s="10"/>
      <c r="E109" s="10"/>
      <c r="F109" s="10"/>
      <c r="G109" s="10"/>
      <c r="H109" s="10"/>
      <c r="I109" s="10"/>
      <c r="J109" s="10"/>
    </row>
    <row r="110" spans="2:12" x14ac:dyDescent="0.3">
      <c r="B110" s="5"/>
      <c r="C110" s="10"/>
      <c r="D110" s="10"/>
      <c r="E110" s="10"/>
      <c r="F110" s="10"/>
      <c r="G110" s="10"/>
      <c r="H110" s="10"/>
      <c r="I110" s="10"/>
      <c r="J110" s="10"/>
    </row>
    <row r="111" spans="2:12" x14ac:dyDescent="0.3">
      <c r="B111" s="5"/>
      <c r="C111" s="10"/>
      <c r="D111" s="10"/>
      <c r="E111" s="10"/>
      <c r="F111" s="10"/>
      <c r="G111" s="10"/>
      <c r="H111" s="10"/>
      <c r="I111" s="10"/>
      <c r="J111" s="10"/>
    </row>
    <row r="112" spans="2:12" x14ac:dyDescent="0.3">
      <c r="B112" s="5"/>
      <c r="C112" s="10"/>
      <c r="D112" s="10"/>
      <c r="E112" s="10"/>
      <c r="F112" s="10"/>
      <c r="G112" s="10"/>
      <c r="H112" s="10"/>
      <c r="I112" s="10"/>
      <c r="J112" s="10"/>
    </row>
    <row r="113" spans="2:12" x14ac:dyDescent="0.3">
      <c r="B113" s="5"/>
      <c r="C113" s="10"/>
      <c r="D113" s="10"/>
      <c r="E113" s="10"/>
      <c r="F113" s="10"/>
      <c r="G113" s="10"/>
      <c r="H113" s="10"/>
      <c r="I113" s="10"/>
      <c r="J113" s="10"/>
    </row>
    <row r="114" spans="2:12" x14ac:dyDescent="0.3">
      <c r="B114" s="5"/>
      <c r="C114" s="10"/>
      <c r="D114" s="10"/>
      <c r="E114" s="10"/>
      <c r="F114" s="10"/>
      <c r="G114" s="10"/>
      <c r="H114" s="10"/>
      <c r="I114" s="10"/>
      <c r="J114" s="10"/>
    </row>
    <row r="115" spans="2:12" x14ac:dyDescent="0.3">
      <c r="B115" s="5"/>
      <c r="C115" s="10"/>
      <c r="D115" s="10"/>
      <c r="E115" s="10"/>
      <c r="F115" s="10"/>
      <c r="G115" s="10"/>
      <c r="H115" s="10"/>
      <c r="I115" s="10"/>
      <c r="J115" s="10"/>
    </row>
    <row r="116" spans="2:12" x14ac:dyDescent="0.3">
      <c r="B116" s="5"/>
      <c r="C116" s="10"/>
      <c r="D116" s="10"/>
      <c r="E116" s="10"/>
      <c r="F116" s="10"/>
      <c r="G116" s="10"/>
      <c r="H116" s="10"/>
      <c r="I116" s="10"/>
      <c r="J116" s="10"/>
    </row>
    <row r="117" spans="2:12" x14ac:dyDescent="0.3">
      <c r="B117" s="5"/>
      <c r="C117" s="10"/>
      <c r="D117" s="10"/>
      <c r="E117" s="10"/>
      <c r="F117" s="10"/>
      <c r="G117" s="10"/>
      <c r="H117" s="10"/>
      <c r="I117" s="10"/>
      <c r="J117" s="10"/>
    </row>
    <row r="118" spans="2:12" x14ac:dyDescent="0.3">
      <c r="B118" s="10"/>
      <c r="C118" s="10"/>
      <c r="D118" s="10"/>
      <c r="E118" s="10"/>
      <c r="F118" s="10"/>
      <c r="G118" s="10"/>
      <c r="H118" s="10"/>
      <c r="I118" s="10"/>
      <c r="J118" s="10"/>
      <c r="K118" s="10"/>
      <c r="L118" s="10"/>
    </row>
    <row r="119" spans="2:12" x14ac:dyDescent="0.3">
      <c r="B119" s="10"/>
      <c r="C119" s="10"/>
      <c r="D119" s="10"/>
      <c r="E119" s="10"/>
      <c r="F119" s="10"/>
      <c r="G119" s="10"/>
      <c r="H119" s="10"/>
      <c r="I119" s="10"/>
      <c r="J119" s="10"/>
      <c r="K119" s="10"/>
      <c r="L119" s="10"/>
    </row>
    <row r="120" spans="2:12" x14ac:dyDescent="0.3">
      <c r="B120" s="10"/>
      <c r="C120" s="10"/>
      <c r="D120" s="10"/>
      <c r="E120" s="10"/>
      <c r="F120" s="10"/>
      <c r="G120" s="10"/>
      <c r="H120" s="10"/>
      <c r="I120" s="10"/>
      <c r="J120" s="10"/>
      <c r="K120" s="10"/>
      <c r="L120" s="10"/>
    </row>
    <row r="121" spans="2:12" x14ac:dyDescent="0.3">
      <c r="B121" s="10"/>
      <c r="C121" s="10"/>
      <c r="D121" s="10"/>
      <c r="E121" s="10"/>
      <c r="F121" s="10"/>
      <c r="G121" s="10"/>
      <c r="H121" s="10"/>
      <c r="I121" s="10"/>
      <c r="J121" s="10"/>
      <c r="K121" s="10"/>
      <c r="L121" s="10"/>
    </row>
    <row r="122" spans="2:12" x14ac:dyDescent="0.3">
      <c r="B122" s="10"/>
      <c r="C122" s="10"/>
      <c r="D122" s="10"/>
      <c r="E122" s="10"/>
      <c r="F122" s="10"/>
      <c r="G122" s="10"/>
      <c r="H122" s="10"/>
      <c r="I122" s="10"/>
      <c r="J122" s="10"/>
      <c r="K122" s="10"/>
      <c r="L122" s="10"/>
    </row>
    <row r="123" spans="2:12" x14ac:dyDescent="0.3">
      <c r="B123" s="10"/>
      <c r="C123" s="10"/>
      <c r="D123" s="10"/>
      <c r="E123" s="10"/>
      <c r="F123" s="10"/>
      <c r="G123" s="10"/>
      <c r="H123" s="10"/>
      <c r="I123" s="10"/>
      <c r="J123" s="10"/>
      <c r="K123" s="10"/>
      <c r="L123" s="10"/>
    </row>
    <row r="124" spans="2:12" x14ac:dyDescent="0.3">
      <c r="B124" s="10"/>
      <c r="C124" s="10"/>
      <c r="D124" s="10"/>
      <c r="E124" s="10"/>
      <c r="F124" s="10"/>
      <c r="G124" s="11"/>
      <c r="H124" s="10"/>
      <c r="I124" s="10"/>
      <c r="J124" s="10"/>
      <c r="K124" s="10"/>
      <c r="L124" s="10"/>
    </row>
    <row r="125" spans="2:12" x14ac:dyDescent="0.3">
      <c r="B125" s="10"/>
      <c r="C125" s="12"/>
      <c r="D125" s="12"/>
      <c r="E125" s="12"/>
      <c r="F125" s="12"/>
      <c r="G125" s="12"/>
      <c r="H125" s="12"/>
      <c r="I125" s="10"/>
      <c r="J125" s="12"/>
      <c r="K125" s="12"/>
      <c r="L125" s="10"/>
    </row>
    <row r="126" spans="2:12" x14ac:dyDescent="0.3">
      <c r="B126" s="10"/>
      <c r="C126" s="10"/>
      <c r="D126" s="10"/>
      <c r="E126" s="10"/>
      <c r="F126" s="10"/>
      <c r="G126" s="10"/>
      <c r="H126" s="10"/>
      <c r="I126" s="10"/>
      <c r="J126" s="10"/>
      <c r="K126" s="10"/>
      <c r="L126" s="10"/>
    </row>
    <row r="127" spans="2:12" x14ac:dyDescent="0.3">
      <c r="B127" s="10"/>
      <c r="C127" s="12"/>
      <c r="D127" s="12"/>
      <c r="E127" s="12"/>
      <c r="F127" s="12"/>
      <c r="G127" s="12"/>
      <c r="H127" s="12"/>
      <c r="I127" s="10"/>
      <c r="J127" s="12"/>
      <c r="K127" s="12"/>
      <c r="L127" s="10"/>
    </row>
    <row r="128" spans="2:12" x14ac:dyDescent="0.3">
      <c r="B128" s="10"/>
      <c r="C128" s="10"/>
      <c r="D128" s="10"/>
      <c r="E128" s="10"/>
      <c r="F128" s="10"/>
      <c r="G128" s="10"/>
      <c r="H128" s="10"/>
      <c r="I128" s="10"/>
      <c r="J128" s="10"/>
      <c r="K128" s="10"/>
      <c r="L128" s="10"/>
    </row>
    <row r="129" spans="2:15" x14ac:dyDescent="0.3">
      <c r="B129" s="10"/>
      <c r="C129" s="10"/>
      <c r="D129" s="10"/>
      <c r="E129" s="10"/>
      <c r="F129" s="10"/>
      <c r="G129" s="10"/>
      <c r="H129" s="10"/>
      <c r="I129" s="10"/>
      <c r="J129" s="10"/>
      <c r="K129" s="10"/>
      <c r="L129" s="10"/>
    </row>
    <row r="130" spans="2:15" x14ac:dyDescent="0.3">
      <c r="B130" s="12"/>
      <c r="C130" s="10"/>
      <c r="D130" s="10"/>
      <c r="E130" s="10"/>
      <c r="F130" s="10"/>
      <c r="G130" s="10"/>
      <c r="H130" s="10"/>
      <c r="I130" s="10"/>
      <c r="J130" s="10"/>
      <c r="K130" s="10"/>
      <c r="L130" s="10"/>
    </row>
    <row r="131" spans="2:15" x14ac:dyDescent="0.3">
      <c r="B131" s="10"/>
      <c r="C131" s="10"/>
      <c r="D131" s="10"/>
      <c r="E131" s="10"/>
      <c r="F131" s="10"/>
      <c r="G131" s="10"/>
      <c r="H131" s="10"/>
      <c r="I131" s="10"/>
      <c r="J131" s="10"/>
      <c r="K131" s="10"/>
      <c r="L131" s="10"/>
    </row>
    <row r="136" spans="2:15" x14ac:dyDescent="0.3">
      <c r="O136" s="3"/>
    </row>
    <row r="137" spans="2:15" x14ac:dyDescent="0.3">
      <c r="H137" s="23"/>
      <c r="I137" s="23"/>
      <c r="J137" s="8"/>
      <c r="K137" s="4"/>
      <c r="L137" s="23"/>
      <c r="M137" s="23"/>
    </row>
    <row r="138" spans="2:15" x14ac:dyDescent="0.3">
      <c r="H138" s="4"/>
    </row>
    <row r="139" spans="2:15" x14ac:dyDescent="0.3">
      <c r="C139" s="5"/>
      <c r="D139" s="5"/>
      <c r="E139" s="5"/>
      <c r="F139" s="5"/>
      <c r="G139" s="5"/>
      <c r="H139" s="5"/>
      <c r="O139" s="2"/>
    </row>
    <row r="140" spans="2:15" x14ac:dyDescent="0.3">
      <c r="B140" s="5"/>
      <c r="I140" s="6"/>
      <c r="J140" s="9"/>
      <c r="K140" s="9"/>
    </row>
    <row r="141" spans="2:15" x14ac:dyDescent="0.3">
      <c r="B141" s="5"/>
      <c r="I141" s="6"/>
      <c r="J141" s="9"/>
      <c r="K141" s="9"/>
      <c r="N141" s="2"/>
    </row>
    <row r="142" spans="2:15" x14ac:dyDescent="0.3">
      <c r="B142" s="5"/>
      <c r="I142" s="6"/>
      <c r="J142" s="9"/>
      <c r="K142" s="9"/>
      <c r="M142" s="6"/>
    </row>
    <row r="143" spans="2:15" x14ac:dyDescent="0.3">
      <c r="B143" s="5"/>
      <c r="I143" s="6"/>
      <c r="J143" s="9"/>
      <c r="K143" s="9"/>
      <c r="M143" s="5"/>
    </row>
    <row r="144" spans="2:15" x14ac:dyDescent="0.3">
      <c r="B144" s="5"/>
      <c r="I144" s="6"/>
      <c r="J144" s="9"/>
      <c r="K144" s="9"/>
      <c r="M144" s="5"/>
    </row>
    <row r="145" spans="2:16" x14ac:dyDescent="0.3">
      <c r="B145" s="5"/>
      <c r="I145" s="6"/>
      <c r="J145" s="9"/>
      <c r="K145" s="9"/>
      <c r="M145" s="5"/>
    </row>
    <row r="146" spans="2:16" x14ac:dyDescent="0.3">
      <c r="C146" s="5"/>
      <c r="D146" s="6"/>
      <c r="I146" s="6"/>
      <c r="K146" s="5"/>
      <c r="L146" s="4"/>
      <c r="M146" s="5"/>
    </row>
    <row r="147" spans="2:16" x14ac:dyDescent="0.3">
      <c r="C147" s="5"/>
      <c r="D147" s="6"/>
      <c r="E147" s="6"/>
      <c r="J147" s="6"/>
      <c r="M147" s="6"/>
      <c r="N147" s="6"/>
    </row>
    <row r="148" spans="2:16" x14ac:dyDescent="0.3">
      <c r="I148" s="9"/>
    </row>
    <row r="149" spans="2:16" x14ac:dyDescent="0.3">
      <c r="I149" s="6"/>
      <c r="J149" s="6"/>
      <c r="K149" s="6"/>
      <c r="L149" s="6"/>
      <c r="N149" s="6"/>
      <c r="P149" s="6"/>
    </row>
    <row r="157" spans="2:16" x14ac:dyDescent="0.3">
      <c r="C157" s="4"/>
    </row>
    <row r="158" spans="2:16" x14ac:dyDescent="0.3">
      <c r="D158" s="4"/>
      <c r="E158" s="4"/>
      <c r="F158" s="4"/>
      <c r="G158" s="4"/>
      <c r="K158" s="4"/>
    </row>
    <row r="159" spans="2:16" x14ac:dyDescent="0.3">
      <c r="D159" s="1"/>
      <c r="E159" s="1"/>
      <c r="F159" s="1"/>
      <c r="G159" s="1"/>
    </row>
    <row r="160" spans="2:16" x14ac:dyDescent="0.3">
      <c r="D160" s="6"/>
      <c r="E160" s="6"/>
      <c r="F160" s="6"/>
      <c r="G160" s="6"/>
    </row>
    <row r="165" spans="3:5" x14ac:dyDescent="0.3">
      <c r="C165" s="4"/>
    </row>
    <row r="166" spans="3:5" x14ac:dyDescent="0.3">
      <c r="E166" s="4"/>
    </row>
    <row r="172" spans="3:5" x14ac:dyDescent="0.3">
      <c r="D172" s="6"/>
    </row>
    <row r="175" spans="3:5" x14ac:dyDescent="0.3">
      <c r="C175" s="4"/>
      <c r="D175" s="4"/>
      <c r="E175" s="4"/>
    </row>
    <row r="176" spans="3:5" x14ac:dyDescent="0.3">
      <c r="D176" s="6"/>
    </row>
    <row r="177" spans="2:19" x14ac:dyDescent="0.3">
      <c r="D177" s="6"/>
    </row>
    <row r="179" spans="2:19" x14ac:dyDescent="0.3">
      <c r="G179" s="7"/>
    </row>
    <row r="180" spans="2:19" x14ac:dyDescent="0.3">
      <c r="C180" s="5"/>
      <c r="D180" s="5"/>
      <c r="E180" s="5"/>
      <c r="F180" s="5"/>
      <c r="G180" s="5"/>
      <c r="H180" s="5"/>
      <c r="I180" s="5"/>
      <c r="J180" s="5"/>
      <c r="K180" s="5"/>
      <c r="L180" s="5"/>
      <c r="M180" s="5"/>
      <c r="N180" s="5"/>
      <c r="O180" s="5"/>
      <c r="P180" s="5"/>
      <c r="Q180" s="5"/>
      <c r="R180" s="5"/>
      <c r="S180" s="5"/>
    </row>
    <row r="181" spans="2:19" x14ac:dyDescent="0.3">
      <c r="B181" s="4"/>
      <c r="C181" s="6"/>
      <c r="D181" s="6"/>
      <c r="E181" s="6"/>
      <c r="F181" s="6"/>
      <c r="G181" s="6"/>
      <c r="H181" s="6"/>
      <c r="I181" s="6"/>
      <c r="J181" s="6"/>
      <c r="K181" s="6"/>
    </row>
    <row r="182" spans="2:19" x14ac:dyDescent="0.3">
      <c r="B182" s="5"/>
      <c r="C182" s="6"/>
      <c r="D182" s="5"/>
      <c r="E182" s="5"/>
      <c r="F182" s="5"/>
      <c r="G182" s="5"/>
    </row>
    <row r="183" spans="2:19" x14ac:dyDescent="0.3">
      <c r="B183" s="5"/>
      <c r="C183" s="6"/>
      <c r="D183" s="6"/>
      <c r="E183" s="6"/>
      <c r="F183" s="6"/>
      <c r="G183" s="6"/>
    </row>
    <row r="184" spans="2:19" x14ac:dyDescent="0.3">
      <c r="B184" s="5"/>
      <c r="C184" s="6"/>
      <c r="D184" s="6"/>
      <c r="E184" s="6"/>
      <c r="F184" s="6"/>
      <c r="G184" s="6"/>
    </row>
    <row r="185" spans="2:19" x14ac:dyDescent="0.3">
      <c r="B185" s="5"/>
    </row>
    <row r="186" spans="2:19" x14ac:dyDescent="0.3">
      <c r="B186" s="5"/>
    </row>
    <row r="187" spans="2:19" x14ac:dyDescent="0.3">
      <c r="B187" s="5"/>
    </row>
    <row r="188" spans="2:19" x14ac:dyDescent="0.3">
      <c r="B188" s="5"/>
    </row>
    <row r="189" spans="2:19" x14ac:dyDescent="0.3">
      <c r="B189" s="5"/>
    </row>
    <row r="190" spans="2:19" x14ac:dyDescent="0.3">
      <c r="B190" s="5"/>
    </row>
    <row r="191" spans="2:19" x14ac:dyDescent="0.3">
      <c r="B191" s="5"/>
    </row>
    <row r="192" spans="2:19" x14ac:dyDescent="0.3">
      <c r="B192" s="5"/>
    </row>
    <row r="193" spans="2:2" x14ac:dyDescent="0.3">
      <c r="B193" s="5"/>
    </row>
    <row r="194" spans="2:2" x14ac:dyDescent="0.3">
      <c r="B194" s="5"/>
    </row>
    <row r="195" spans="2:2" x14ac:dyDescent="0.3">
      <c r="B195" s="5"/>
    </row>
    <row r="210" spans="1:11" x14ac:dyDescent="0.3">
      <c r="B210" s="5"/>
      <c r="C210" s="5"/>
      <c r="D210" s="5"/>
      <c r="E210" s="5"/>
      <c r="F210" s="5"/>
      <c r="G210" s="5"/>
      <c r="H210" s="5"/>
      <c r="I210" s="5"/>
      <c r="J210" s="5"/>
      <c r="K210" s="5"/>
    </row>
    <row r="211" spans="1:11" x14ac:dyDescent="0.3">
      <c r="A211" s="5"/>
    </row>
    <row r="212" spans="1:11" x14ac:dyDescent="0.3">
      <c r="A212" s="5"/>
    </row>
    <row r="213" spans="1:11" x14ac:dyDescent="0.3">
      <c r="A213" s="5"/>
    </row>
    <row r="214" spans="1:11" x14ac:dyDescent="0.3">
      <c r="A214" s="5"/>
    </row>
    <row r="215" spans="1:11" x14ac:dyDescent="0.3">
      <c r="A215" s="5"/>
    </row>
    <row r="216" spans="1:11" x14ac:dyDescent="0.3">
      <c r="A216" s="5"/>
    </row>
    <row r="217" spans="1:11" x14ac:dyDescent="0.3">
      <c r="A217" s="5"/>
    </row>
    <row r="218" spans="1:11" x14ac:dyDescent="0.3">
      <c r="A218" s="5"/>
    </row>
    <row r="219" spans="1:11" x14ac:dyDescent="0.3">
      <c r="A219" s="5"/>
    </row>
    <row r="220" spans="1:11" x14ac:dyDescent="0.3">
      <c r="A220" s="5"/>
    </row>
    <row r="226" spans="1:11" x14ac:dyDescent="0.3">
      <c r="B226" s="5"/>
      <c r="C226" s="5"/>
      <c r="D226" s="5"/>
      <c r="E226" s="5"/>
      <c r="F226" s="5"/>
      <c r="G226" s="5"/>
      <c r="H226" s="5"/>
      <c r="I226" s="5"/>
      <c r="J226" s="5"/>
      <c r="K226" s="5"/>
    </row>
    <row r="227" spans="1:11" x14ac:dyDescent="0.3">
      <c r="A227" s="5"/>
    </row>
    <row r="228" spans="1:11" x14ac:dyDescent="0.3">
      <c r="A228" s="5"/>
    </row>
    <row r="229" spans="1:11" x14ac:dyDescent="0.3">
      <c r="A229" s="5"/>
    </row>
    <row r="230" spans="1:11" x14ac:dyDescent="0.3">
      <c r="A230" s="5"/>
    </row>
    <row r="231" spans="1:11" x14ac:dyDescent="0.3">
      <c r="A231" s="5"/>
    </row>
    <row r="232" spans="1:11" x14ac:dyDescent="0.3">
      <c r="A232" s="5"/>
    </row>
    <row r="233" spans="1:11" x14ac:dyDescent="0.3">
      <c r="A233" s="5"/>
    </row>
    <row r="234" spans="1:11" x14ac:dyDescent="0.3">
      <c r="A234" s="5"/>
    </row>
    <row r="235" spans="1:11" x14ac:dyDescent="0.3">
      <c r="A235" s="5"/>
    </row>
    <row r="236" spans="1:11" x14ac:dyDescent="0.3">
      <c r="A236" s="5"/>
    </row>
    <row r="242" spans="1:11" x14ac:dyDescent="0.3">
      <c r="B242" s="5"/>
      <c r="C242" s="5"/>
      <c r="D242" s="5"/>
      <c r="E242" s="5"/>
      <c r="F242" s="5"/>
      <c r="G242" s="5"/>
      <c r="H242" s="5"/>
      <c r="I242" s="5"/>
      <c r="J242" s="5"/>
      <c r="K242" s="5"/>
    </row>
    <row r="243" spans="1:11" x14ac:dyDescent="0.3">
      <c r="A243" s="5"/>
    </row>
    <row r="244" spans="1:11" x14ac:dyDescent="0.3">
      <c r="A244" s="5"/>
    </row>
    <row r="245" spans="1:11" x14ac:dyDescent="0.3">
      <c r="A245" s="5"/>
    </row>
    <row r="246" spans="1:11" x14ac:dyDescent="0.3">
      <c r="A246" s="5"/>
    </row>
    <row r="247" spans="1:11" x14ac:dyDescent="0.3">
      <c r="A247" s="5"/>
    </row>
    <row r="248" spans="1:11" x14ac:dyDescent="0.3">
      <c r="A248" s="5"/>
    </row>
    <row r="249" spans="1:11" x14ac:dyDescent="0.3">
      <c r="A249" s="5"/>
    </row>
    <row r="250" spans="1:11" x14ac:dyDescent="0.3">
      <c r="A250" s="5"/>
    </row>
    <row r="251" spans="1:11" x14ac:dyDescent="0.3">
      <c r="A251" s="5"/>
    </row>
    <row r="252" spans="1:11" x14ac:dyDescent="0.3">
      <c r="A252" s="5"/>
    </row>
    <row r="273" spans="1:11" x14ac:dyDescent="0.3">
      <c r="A273" s="4"/>
      <c r="B273" s="4"/>
    </row>
    <row r="275" spans="1:11" x14ac:dyDescent="0.3">
      <c r="B275" s="5"/>
      <c r="C275" s="5"/>
      <c r="D275" s="5"/>
      <c r="E275" s="5"/>
      <c r="F275" s="5"/>
      <c r="G275" s="5"/>
      <c r="H275" s="5"/>
      <c r="I275" s="5"/>
      <c r="J275" s="5"/>
      <c r="K275" s="5"/>
    </row>
    <row r="276" spans="1:11" x14ac:dyDescent="0.3">
      <c r="A276" s="5"/>
    </row>
    <row r="277" spans="1:11" x14ac:dyDescent="0.3">
      <c r="A277" s="5"/>
    </row>
    <row r="278" spans="1:11" x14ac:dyDescent="0.3">
      <c r="A278" s="5"/>
    </row>
    <row r="279" spans="1:11" x14ac:dyDescent="0.3">
      <c r="A279" s="5"/>
    </row>
    <row r="280" spans="1:11" x14ac:dyDescent="0.3">
      <c r="A280" s="5"/>
    </row>
    <row r="281" spans="1:11" x14ac:dyDescent="0.3">
      <c r="A281" s="5"/>
    </row>
    <row r="282" spans="1:11" x14ac:dyDescent="0.3">
      <c r="A282" s="5"/>
    </row>
    <row r="283" spans="1:11" x14ac:dyDescent="0.3">
      <c r="A283" s="5"/>
    </row>
    <row r="284" spans="1:11" x14ac:dyDescent="0.3">
      <c r="A284" s="5"/>
    </row>
    <row r="285" spans="1:11" x14ac:dyDescent="0.3">
      <c r="A285" s="5"/>
    </row>
    <row r="295" spans="3:5" x14ac:dyDescent="0.3">
      <c r="C295" s="4"/>
    </row>
    <row r="296" spans="3:5" x14ac:dyDescent="0.3">
      <c r="E296" s="4"/>
    </row>
    <row r="302" spans="3:5" x14ac:dyDescent="0.3">
      <c r="D302" s="6"/>
    </row>
    <row r="305" spans="2:12" x14ac:dyDescent="0.3">
      <c r="C305" s="4"/>
      <c r="D305" s="4"/>
      <c r="E305" s="4"/>
    </row>
    <row r="306" spans="2:12" x14ac:dyDescent="0.3">
      <c r="D306" s="6"/>
    </row>
    <row r="307" spans="2:12" x14ac:dyDescent="0.3">
      <c r="D307" s="6"/>
    </row>
    <row r="309" spans="2:12" x14ac:dyDescent="0.3">
      <c r="G309" s="7"/>
    </row>
    <row r="310" spans="2:12" x14ac:dyDescent="0.3">
      <c r="C310" s="5"/>
      <c r="D310" s="5"/>
      <c r="E310" s="5"/>
      <c r="F310" s="5"/>
      <c r="G310" s="5"/>
      <c r="H310" s="5"/>
      <c r="I310" s="5"/>
      <c r="J310" s="5"/>
      <c r="K310" s="5"/>
      <c r="L310" s="5"/>
    </row>
    <row r="311" spans="2:12" x14ac:dyDescent="0.3">
      <c r="C311" s="6"/>
      <c r="D311" s="6"/>
      <c r="E311" s="6"/>
      <c r="F311" s="6"/>
      <c r="G311" s="6"/>
      <c r="H311" s="6"/>
      <c r="I311" s="6"/>
      <c r="J311" s="6"/>
      <c r="K311" s="6"/>
      <c r="L311" s="6"/>
    </row>
    <row r="312" spans="2:12" x14ac:dyDescent="0.3">
      <c r="C312" s="5"/>
      <c r="D312" s="5"/>
      <c r="E312" s="5"/>
      <c r="F312" s="5"/>
      <c r="G312" s="5"/>
      <c r="H312" s="5"/>
      <c r="I312" s="5"/>
      <c r="J312" s="5"/>
      <c r="K312" s="5"/>
      <c r="L312" s="5"/>
    </row>
    <row r="313" spans="2:12" x14ac:dyDescent="0.3">
      <c r="C313" s="6"/>
      <c r="D313" s="6"/>
      <c r="E313" s="6"/>
      <c r="F313" s="6"/>
      <c r="G313" s="6"/>
      <c r="H313" s="6"/>
      <c r="I313" s="6"/>
      <c r="J313" s="6"/>
      <c r="K313" s="6"/>
      <c r="L313" s="6"/>
    </row>
    <row r="314" spans="2:12" x14ac:dyDescent="0.3">
      <c r="C314" s="6"/>
      <c r="D314" s="6"/>
      <c r="E314" s="6"/>
      <c r="F314" s="6"/>
      <c r="G314" s="6"/>
      <c r="H314" s="6"/>
      <c r="I314" s="6"/>
      <c r="J314" s="6"/>
      <c r="K314" s="6"/>
      <c r="L314" s="6"/>
    </row>
    <row r="315" spans="2:12" x14ac:dyDescent="0.3">
      <c r="B315" s="5"/>
    </row>
    <row r="321" spans="3:16" x14ac:dyDescent="0.3">
      <c r="O321" s="3"/>
    </row>
    <row r="322" spans="3:16" x14ac:dyDescent="0.3">
      <c r="H322" s="23"/>
      <c r="I322" s="23"/>
      <c r="J322" s="23"/>
      <c r="K322" s="23"/>
      <c r="L322" s="4"/>
      <c r="M322" s="4"/>
      <c r="N322" s="23"/>
      <c r="O322" s="23"/>
    </row>
    <row r="323" spans="3:16" x14ac:dyDescent="0.3">
      <c r="H323" s="4"/>
    </row>
    <row r="324" spans="3:16" x14ac:dyDescent="0.3">
      <c r="F324" s="5"/>
      <c r="O324" s="2"/>
    </row>
    <row r="325" spans="3:16" x14ac:dyDescent="0.3">
      <c r="C325" s="5"/>
      <c r="D325" s="6"/>
      <c r="E325" s="6"/>
      <c r="H325" s="4"/>
      <c r="J325" s="4"/>
      <c r="L325" s="6"/>
    </row>
    <row r="326" spans="3:16" x14ac:dyDescent="0.3">
      <c r="C326" s="5"/>
      <c r="D326" s="6"/>
      <c r="E326" s="6"/>
      <c r="H326" s="4"/>
      <c r="J326" s="5"/>
      <c r="L326" s="6"/>
      <c r="O326" s="2"/>
    </row>
    <row r="327" spans="3:16" x14ac:dyDescent="0.3">
      <c r="C327" s="5"/>
      <c r="D327" s="6"/>
      <c r="E327" s="6"/>
      <c r="H327" s="4"/>
      <c r="J327" s="5"/>
      <c r="L327" s="6"/>
      <c r="M327" s="6"/>
      <c r="N327" s="6"/>
    </row>
    <row r="328" spans="3:16" x14ac:dyDescent="0.3">
      <c r="C328" s="5"/>
      <c r="D328" s="6"/>
      <c r="E328" s="6"/>
      <c r="H328" s="4"/>
      <c r="J328" s="5"/>
      <c r="L328" s="5"/>
      <c r="N328" s="5"/>
    </row>
    <row r="329" spans="3:16" x14ac:dyDescent="0.3">
      <c r="C329" s="5"/>
      <c r="D329" s="6"/>
      <c r="E329" s="6"/>
      <c r="H329" s="4"/>
      <c r="J329" s="5"/>
      <c r="L329" s="5"/>
      <c r="N329" s="5"/>
    </row>
    <row r="330" spans="3:16" x14ac:dyDescent="0.3">
      <c r="C330" s="5"/>
      <c r="D330" s="6"/>
      <c r="E330" s="6"/>
      <c r="H330" s="4"/>
      <c r="J330" s="5"/>
      <c r="L330" s="5"/>
      <c r="N330" s="5"/>
    </row>
    <row r="331" spans="3:16" x14ac:dyDescent="0.3">
      <c r="C331" s="5"/>
      <c r="D331" s="6"/>
      <c r="E331" s="6"/>
      <c r="H331" s="4"/>
      <c r="J331" s="5"/>
      <c r="L331" s="5"/>
      <c r="N331" s="5"/>
    </row>
    <row r="332" spans="3:16" x14ac:dyDescent="0.3">
      <c r="C332" s="5"/>
      <c r="D332" s="6"/>
      <c r="E332" s="6"/>
      <c r="H332" s="4"/>
      <c r="J332" s="5"/>
      <c r="L332" s="6"/>
      <c r="M332" s="6"/>
      <c r="N332" s="6"/>
    </row>
    <row r="333" spans="3:16" x14ac:dyDescent="0.3">
      <c r="C333" s="5"/>
      <c r="D333" s="6"/>
      <c r="E333" s="6"/>
      <c r="H333" s="5"/>
      <c r="J333" s="5"/>
      <c r="L333" s="6"/>
      <c r="O333" s="3"/>
    </row>
    <row r="334" spans="3:16" x14ac:dyDescent="0.3">
      <c r="C334" s="5"/>
      <c r="D334" s="6"/>
      <c r="E334" s="6"/>
      <c r="J334" s="5"/>
      <c r="L334" s="6"/>
      <c r="O334" s="2"/>
    </row>
    <row r="335" spans="3:16" x14ac:dyDescent="0.3">
      <c r="C335" s="5"/>
      <c r="L335" s="6"/>
    </row>
    <row r="336" spans="3:16" x14ac:dyDescent="0.3">
      <c r="G336" s="6"/>
      <c r="H336" s="6"/>
      <c r="I336" s="6"/>
      <c r="J336" s="6"/>
      <c r="K336" s="6"/>
      <c r="L336" s="6"/>
      <c r="M336" s="6"/>
      <c r="N336" s="6"/>
      <c r="O336" s="6"/>
      <c r="P336" s="6"/>
    </row>
  </sheetData>
  <mergeCells count="5">
    <mergeCell ref="N322:O322"/>
    <mergeCell ref="H137:I137"/>
    <mergeCell ref="L137:M137"/>
    <mergeCell ref="H322:I322"/>
    <mergeCell ref="J322:K322"/>
  </mergeCells>
  <phoneticPr fontId="2" type="noConversion"/>
  <conditionalFormatting sqref="C108:L117">
    <cfRule type="colorScale" priority="4">
      <colorScale>
        <cfvo type="num" val="-0.1"/>
        <cfvo type="num" val="0"/>
        <cfvo type="num" val="0.1"/>
        <color rgb="FF0070C0"/>
        <color theme="0"/>
        <color rgb="FFC00000"/>
      </colorScale>
    </cfRule>
  </conditionalFormatting>
  <conditionalFormatting sqref="B22:K31">
    <cfRule type="colorScale" priority="1">
      <colorScale>
        <cfvo type="num" val="-0.15"/>
        <cfvo type="num" val="0"/>
        <cfvo type="num" val="0.15"/>
        <color rgb="FF00B0F0"/>
        <color theme="0"/>
        <color rgb="FFFF0000"/>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C9971-94A0-4960-AA72-537A2D90708B}">
  <sheetPr codeName="Sheet4"/>
  <dimension ref="A19:AB105"/>
  <sheetViews>
    <sheetView topLeftCell="A76" workbookViewId="0">
      <selection activeCell="A19" sqref="A19:J19"/>
    </sheetView>
  </sheetViews>
  <sheetFormatPr defaultRowHeight="14.4" x14ac:dyDescent="0.3"/>
  <cols>
    <col min="1" max="1" width="10.5546875" customWidth="1"/>
    <col min="2" max="2" width="9.77734375" customWidth="1"/>
    <col min="3" max="3" width="9.88671875" customWidth="1"/>
    <col min="4" max="6" width="9.77734375" customWidth="1"/>
    <col min="7" max="7" width="9.88671875" customWidth="1"/>
    <col min="8" max="8" width="11.109375" customWidth="1"/>
    <col min="9" max="9" width="9.5546875" customWidth="1"/>
    <col min="10" max="10" width="10.109375" customWidth="1"/>
    <col min="11" max="11" width="9.44140625" customWidth="1"/>
    <col min="14" max="14" width="10.33203125" customWidth="1"/>
    <col min="15" max="15" width="12.6640625" customWidth="1"/>
    <col min="16" max="16" width="9.6640625" customWidth="1"/>
    <col min="17" max="17" width="10.109375" customWidth="1"/>
    <col min="18" max="18" width="9.5546875" customWidth="1"/>
    <col min="19" max="21" width="9.77734375" customWidth="1"/>
    <col min="22" max="22" width="9.33203125" customWidth="1"/>
    <col min="23" max="23" width="10" customWidth="1"/>
  </cols>
  <sheetData>
    <row r="19" spans="1:28" x14ac:dyDescent="0.3">
      <c r="A19" s="24" t="s">
        <v>158</v>
      </c>
      <c r="B19" s="18">
        <f>MAX(B25:K34)</f>
        <v>5.5083040000000014E-2</v>
      </c>
      <c r="C19" s="4" t="s">
        <v>159</v>
      </c>
      <c r="D19" s="18">
        <f>MIN(B25:K34)</f>
        <v>-6.6999959999999983E-2</v>
      </c>
      <c r="E19" s="4" t="s">
        <v>160</v>
      </c>
      <c r="F19" s="18">
        <f>B19+ABS(D19)</f>
        <v>0.122083</v>
      </c>
      <c r="G19" s="4" t="s">
        <v>161</v>
      </c>
      <c r="H19" s="4">
        <f>STDEV(B25:K34)</f>
        <v>2.6930637544700646E-2</v>
      </c>
      <c r="I19" s="4" t="s">
        <v>1</v>
      </c>
      <c r="J19" s="4">
        <f>VAR(B25:K34)</f>
        <v>7.2525923856403996E-4</v>
      </c>
    </row>
    <row r="21" spans="1:28" x14ac:dyDescent="0.3">
      <c r="A21" s="21">
        <f ca="1">TODAY()</f>
        <v>45977</v>
      </c>
    </row>
    <row r="22" spans="1:28" x14ac:dyDescent="0.3">
      <c r="A22" s="4" t="s">
        <v>168</v>
      </c>
    </row>
    <row r="23" spans="1:28" x14ac:dyDescent="0.3">
      <c r="B23" s="4"/>
      <c r="E23" s="4" t="s">
        <v>138</v>
      </c>
      <c r="F23" s="4">
        <f>AVERAGE(B25:K34)</f>
        <v>1.790234627208065E-17</v>
      </c>
      <c r="G23" s="4"/>
      <c r="H23" s="4" t="s">
        <v>129</v>
      </c>
      <c r="I23" s="17">
        <v>1.49</v>
      </c>
      <c r="J23" s="4" t="s">
        <v>128</v>
      </c>
      <c r="K23" s="4"/>
      <c r="N23" s="5"/>
      <c r="O23" s="5"/>
      <c r="P23" s="5"/>
      <c r="Q23" s="5"/>
      <c r="R23" s="5"/>
      <c r="S23" s="5"/>
      <c r="T23" s="5"/>
      <c r="U23" s="5"/>
      <c r="V23" s="5"/>
      <c r="W23" s="5"/>
    </row>
    <row r="24" spans="1:28" x14ac:dyDescent="0.3">
      <c r="A24" s="20" t="s">
        <v>147</v>
      </c>
      <c r="B24" s="5">
        <v>27</v>
      </c>
      <c r="C24" s="5">
        <v>47.332999999999998</v>
      </c>
      <c r="D24" s="5">
        <v>67.665999999999997</v>
      </c>
      <c r="E24" s="5">
        <v>87.998999999999995</v>
      </c>
      <c r="F24" s="5">
        <v>108.33199999999999</v>
      </c>
      <c r="G24" s="5">
        <v>128.66499999999999</v>
      </c>
      <c r="H24" s="5">
        <v>148.99799999999999</v>
      </c>
      <c r="I24" s="5">
        <v>169.33099999999999</v>
      </c>
      <c r="J24" s="5">
        <v>189.66399999999999</v>
      </c>
      <c r="K24" s="5">
        <v>209.99699999999999</v>
      </c>
      <c r="M24" s="5"/>
    </row>
    <row r="25" spans="1:28" x14ac:dyDescent="0.3">
      <c r="A25" s="5">
        <v>12</v>
      </c>
      <c r="B25" s="1">
        <v>2.0500040000000025E-2</v>
      </c>
      <c r="C25" s="1">
        <v>2.3000040000000013E-2</v>
      </c>
      <c r="D25" s="1">
        <v>-2.7416959999999983E-2</v>
      </c>
      <c r="E25" s="1">
        <v>3.0000400000000163E-3</v>
      </c>
      <c r="F25" s="1">
        <v>-3.4082959999999982E-2</v>
      </c>
      <c r="G25" s="1">
        <v>-2.8666959999999981E-2</v>
      </c>
      <c r="H25" s="1">
        <v>-5.7499599999999845E-3</v>
      </c>
      <c r="I25" s="1">
        <v>3.5917040000000025E-2</v>
      </c>
      <c r="J25" s="1">
        <v>2.5830400000000156E-3</v>
      </c>
      <c r="K25" s="1">
        <v>3.5917040000000025E-2</v>
      </c>
      <c r="M25" s="5"/>
      <c r="S25" s="1"/>
      <c r="T25" s="1"/>
      <c r="U25" s="1"/>
      <c r="V25" s="1"/>
      <c r="W25" s="1"/>
      <c r="X25" s="1"/>
      <c r="Y25" s="1"/>
      <c r="Z25" s="1"/>
      <c r="AA25" s="1"/>
      <c r="AB25" s="1"/>
    </row>
    <row r="26" spans="1:28" x14ac:dyDescent="0.3">
      <c r="A26" s="5">
        <v>33.444000000000003</v>
      </c>
      <c r="B26" s="1">
        <v>-1.0332959999999981E-2</v>
      </c>
      <c r="C26" s="1">
        <v>-8.2499599999999798E-3</v>
      </c>
      <c r="D26" s="1">
        <v>-6.6999959999999983E-2</v>
      </c>
      <c r="E26" s="1">
        <v>-5.2832959999999984E-2</v>
      </c>
      <c r="F26" s="1">
        <v>-6.6166959999999983E-2</v>
      </c>
      <c r="G26" s="1">
        <v>-3.5332959999999983E-2</v>
      </c>
      <c r="H26" s="1">
        <v>-1.616695999999998E-2</v>
      </c>
      <c r="I26" s="1">
        <v>3.0000400000000163E-3</v>
      </c>
      <c r="J26" s="1">
        <v>-1.7416959999999981E-2</v>
      </c>
      <c r="K26" s="1">
        <v>-1.3666959999999985E-2</v>
      </c>
      <c r="M26" s="5"/>
      <c r="S26" s="1"/>
      <c r="T26" s="1"/>
      <c r="U26" s="1"/>
      <c r="V26" s="1"/>
      <c r="W26" s="1"/>
      <c r="X26" s="1"/>
      <c r="Y26" s="1"/>
      <c r="Z26" s="1"/>
      <c r="AA26" s="1"/>
      <c r="AB26" s="1"/>
    </row>
    <row r="27" spans="1:28" x14ac:dyDescent="0.3">
      <c r="A27" s="5">
        <v>54.888000000000005</v>
      </c>
      <c r="B27" s="1">
        <v>1.8417040000000023E-2</v>
      </c>
      <c r="C27" s="1">
        <v>1.508304000000002E-2</v>
      </c>
      <c r="D27" s="1">
        <v>-4.741695999999998E-2</v>
      </c>
      <c r="E27" s="1">
        <v>-4.3666959999999984E-2</v>
      </c>
      <c r="F27" s="1">
        <v>-6.1999959999999979E-2</v>
      </c>
      <c r="G27" s="1">
        <v>-2.9499959999999981E-2</v>
      </c>
      <c r="H27" s="1">
        <v>-8.6669599999999805E-3</v>
      </c>
      <c r="I27" s="1">
        <v>1.7500400000000152E-3</v>
      </c>
      <c r="J27" s="1">
        <v>3.0000400000000163E-3</v>
      </c>
      <c r="K27" s="1">
        <v>3.417040000000017E-3</v>
      </c>
      <c r="M27" s="5"/>
      <c r="S27" s="1"/>
      <c r="T27" s="1"/>
      <c r="U27" s="1"/>
      <c r="V27" s="1"/>
      <c r="W27" s="1"/>
      <c r="X27" s="1"/>
      <c r="Y27" s="1"/>
      <c r="Z27" s="1"/>
      <c r="AA27" s="1"/>
      <c r="AB27" s="1"/>
    </row>
    <row r="28" spans="1:28" x14ac:dyDescent="0.3">
      <c r="A28" s="5">
        <v>76.332000000000008</v>
      </c>
      <c r="B28" s="1">
        <v>3.0917040000000021E-2</v>
      </c>
      <c r="C28" s="1">
        <v>1.9250040000000024E-2</v>
      </c>
      <c r="D28" s="1">
        <v>-2.4916959999999981E-2</v>
      </c>
      <c r="E28" s="1">
        <v>-1.9499959999999983E-2</v>
      </c>
      <c r="F28" s="1">
        <v>-4.9499959999999982E-2</v>
      </c>
      <c r="G28" s="1">
        <v>-1.6999959999999981E-2</v>
      </c>
      <c r="H28" s="1">
        <v>9.1704000000001479E-4</v>
      </c>
      <c r="I28" s="1">
        <v>2.2167040000000013E-2</v>
      </c>
      <c r="J28" s="1">
        <v>5.0830400000000178E-3</v>
      </c>
      <c r="K28" s="1">
        <v>3.0083040000000019E-2</v>
      </c>
      <c r="M28" s="5"/>
      <c r="S28" s="1"/>
      <c r="T28" s="1"/>
      <c r="U28" s="1"/>
      <c r="V28" s="1"/>
      <c r="W28" s="1"/>
      <c r="X28" s="1"/>
      <c r="Y28" s="1"/>
      <c r="Z28" s="1"/>
      <c r="AA28" s="1"/>
      <c r="AB28" s="1"/>
    </row>
    <row r="29" spans="1:28" x14ac:dyDescent="0.3">
      <c r="A29" s="5">
        <v>97.77600000000001</v>
      </c>
      <c r="B29" s="1">
        <v>3.8000040000000013E-2</v>
      </c>
      <c r="C29" s="1">
        <v>3.050004000000002E-2</v>
      </c>
      <c r="D29" s="1">
        <v>-8.6669599999999805E-3</v>
      </c>
      <c r="E29" s="1">
        <v>-1.1166959999999983E-2</v>
      </c>
      <c r="F29" s="1">
        <v>-4.6166959999999979E-2</v>
      </c>
      <c r="G29" s="1">
        <v>-1.6999959999999981E-2</v>
      </c>
      <c r="H29" s="1">
        <v>-3.3295999999997938E-4</v>
      </c>
      <c r="I29" s="1">
        <v>1.8417040000000023E-2</v>
      </c>
      <c r="J29" s="1">
        <v>-1.9999599999999812E-3</v>
      </c>
      <c r="K29" s="1">
        <v>2.0917040000000012E-2</v>
      </c>
      <c r="M29" s="5"/>
      <c r="S29" s="1"/>
      <c r="T29" s="1"/>
      <c r="U29" s="1"/>
      <c r="V29" s="1"/>
      <c r="W29" s="1"/>
      <c r="X29" s="1"/>
      <c r="Y29" s="1"/>
      <c r="Z29" s="1"/>
      <c r="AA29" s="1"/>
      <c r="AB29" s="1"/>
    </row>
    <row r="30" spans="1:28" x14ac:dyDescent="0.3">
      <c r="A30" s="5">
        <v>119.22000000000001</v>
      </c>
      <c r="B30" s="1">
        <v>4.3000040000000017E-2</v>
      </c>
      <c r="C30" s="1">
        <v>3.3000040000000022E-2</v>
      </c>
      <c r="D30" s="1">
        <v>-9.4999599999999809E-3</v>
      </c>
      <c r="E30" s="1">
        <v>-1.2416959999999984E-2</v>
      </c>
      <c r="F30" s="1">
        <v>-5.3249959999999985E-2</v>
      </c>
      <c r="G30" s="1">
        <v>-2.5332959999999981E-2</v>
      </c>
      <c r="H30" s="1">
        <v>-3.666959999999983E-3</v>
      </c>
      <c r="I30" s="1">
        <v>2.5500040000000015E-2</v>
      </c>
      <c r="J30" s="1">
        <v>3.8330400000000167E-3</v>
      </c>
      <c r="K30" s="1">
        <v>2.8000040000000018E-2</v>
      </c>
      <c r="M30" s="5"/>
      <c r="S30" s="1"/>
      <c r="T30" s="1"/>
      <c r="U30" s="1"/>
      <c r="V30" s="1"/>
      <c r="W30" s="1"/>
      <c r="X30" s="1"/>
      <c r="Y30" s="1"/>
      <c r="Z30" s="1"/>
      <c r="AA30" s="1"/>
      <c r="AB30" s="1"/>
    </row>
    <row r="31" spans="1:28" x14ac:dyDescent="0.3">
      <c r="A31" s="5">
        <v>140.66400000000002</v>
      </c>
      <c r="B31" s="1">
        <v>4.3000040000000017E-2</v>
      </c>
      <c r="C31" s="1">
        <v>3.6750040000000012E-2</v>
      </c>
      <c r="D31" s="1">
        <v>-9.4999599999999809E-3</v>
      </c>
      <c r="E31" s="1">
        <v>-8.2499599999999798E-3</v>
      </c>
      <c r="F31" s="1">
        <v>-3.8666959999999979E-2</v>
      </c>
      <c r="G31" s="1">
        <v>-1.8249959999999982E-2</v>
      </c>
      <c r="H31" s="1">
        <v>1.3330400000000214E-3</v>
      </c>
      <c r="I31" s="1">
        <v>1.1333040000000016E-2</v>
      </c>
      <c r="J31" s="1">
        <v>-4.0829599999999827E-3</v>
      </c>
      <c r="K31" s="1">
        <v>1.8833040000000023E-2</v>
      </c>
      <c r="M31" s="5"/>
      <c r="S31" s="1"/>
      <c r="T31" s="1"/>
      <c r="U31" s="1"/>
      <c r="V31" s="1"/>
      <c r="W31" s="1"/>
      <c r="X31" s="1"/>
      <c r="Y31" s="1"/>
      <c r="Z31" s="1"/>
      <c r="AA31" s="1"/>
      <c r="AB31" s="1"/>
    </row>
    <row r="32" spans="1:28" x14ac:dyDescent="0.3">
      <c r="A32" s="5">
        <v>162.108</v>
      </c>
      <c r="B32" s="1">
        <v>3.5500040000000024E-2</v>
      </c>
      <c r="C32" s="1">
        <v>2.3833040000000014E-2</v>
      </c>
      <c r="D32" s="1">
        <v>-1.574995999999998E-2</v>
      </c>
      <c r="E32" s="1">
        <v>-6.1669599999999783E-3</v>
      </c>
      <c r="F32" s="1">
        <v>-2.9916959999999982E-2</v>
      </c>
      <c r="G32" s="1">
        <v>-6.9999599999999787E-3</v>
      </c>
      <c r="H32" s="1">
        <v>1.3330400000000214E-3</v>
      </c>
      <c r="I32" s="1">
        <v>2.3000040000000013E-2</v>
      </c>
      <c r="J32" s="1">
        <v>9.6670400000000156E-3</v>
      </c>
      <c r="K32" s="1">
        <v>3.0917040000000021E-2</v>
      </c>
      <c r="M32" s="5"/>
      <c r="S32" s="1"/>
      <c r="T32" s="1"/>
      <c r="U32" s="1"/>
      <c r="V32" s="1"/>
      <c r="W32" s="1"/>
      <c r="X32" s="1"/>
      <c r="Y32" s="1"/>
      <c r="Z32" s="1"/>
      <c r="AA32" s="1"/>
      <c r="AB32" s="1"/>
    </row>
    <row r="33" spans="1:28" x14ac:dyDescent="0.3">
      <c r="A33" s="5">
        <v>183.55199999999999</v>
      </c>
      <c r="B33" s="1">
        <v>1.5917040000000021E-2</v>
      </c>
      <c r="C33" s="1">
        <v>1.2583040000000018E-2</v>
      </c>
      <c r="D33" s="1">
        <v>-2.3666959999999983E-2</v>
      </c>
      <c r="E33" s="1">
        <v>-6.1669599999999783E-3</v>
      </c>
      <c r="F33" s="1">
        <v>-2.4916959999999981E-2</v>
      </c>
      <c r="G33" s="1">
        <v>-7.4995999999998009E-4</v>
      </c>
      <c r="H33" s="1">
        <v>1.3000040000000018E-2</v>
      </c>
      <c r="I33" s="1">
        <v>2.0500040000000025E-2</v>
      </c>
      <c r="J33" s="1">
        <v>3.8330400000000167E-3</v>
      </c>
      <c r="K33" s="1">
        <v>3.7167040000000012E-2</v>
      </c>
      <c r="M33" s="5"/>
      <c r="S33" s="1"/>
      <c r="T33" s="1"/>
      <c r="U33" s="1"/>
      <c r="V33" s="1"/>
      <c r="W33" s="1"/>
      <c r="X33" s="1"/>
      <c r="Y33" s="1"/>
      <c r="Z33" s="1"/>
      <c r="AA33" s="1"/>
      <c r="AB33" s="1"/>
    </row>
    <row r="34" spans="1:28" x14ac:dyDescent="0.3">
      <c r="A34" s="5">
        <v>204.99599999999998</v>
      </c>
      <c r="B34" s="1">
        <v>2.5917040000000016E-2</v>
      </c>
      <c r="C34" s="1">
        <v>2.4667040000000015E-2</v>
      </c>
      <c r="D34" s="1">
        <v>6.3330400000000189E-3</v>
      </c>
      <c r="E34" s="1">
        <v>2.6750040000000017E-2</v>
      </c>
      <c r="F34" s="1">
        <v>-1.7832959999999981E-2</v>
      </c>
      <c r="G34" s="1">
        <v>1.6333040000000021E-2</v>
      </c>
      <c r="H34" s="1">
        <v>2.5083040000000015E-2</v>
      </c>
      <c r="I34" s="1">
        <v>3.4667040000000024E-2</v>
      </c>
      <c r="J34" s="1">
        <v>1.7167040000000022E-2</v>
      </c>
      <c r="K34" s="1">
        <v>5.5083040000000014E-2</v>
      </c>
      <c r="S34" s="1"/>
      <c r="T34" s="1"/>
      <c r="U34" s="1"/>
      <c r="V34" s="1"/>
      <c r="W34" s="1"/>
      <c r="X34" s="1"/>
      <c r="Y34" s="1"/>
      <c r="Z34" s="1"/>
      <c r="AA34" s="1"/>
      <c r="AB34" s="1"/>
    </row>
    <row r="35" spans="1:28" x14ac:dyDescent="0.3">
      <c r="A35" s="4"/>
      <c r="B35" s="4"/>
      <c r="C35" s="4"/>
      <c r="D35" s="4"/>
      <c r="E35" s="4"/>
      <c r="F35" s="4"/>
    </row>
    <row r="36" spans="1:28" hidden="1" x14ac:dyDescent="0.3">
      <c r="B36" s="10"/>
      <c r="C36" s="10"/>
      <c r="D36" s="10"/>
      <c r="E36" s="10"/>
      <c r="F36" s="10"/>
      <c r="G36" s="10"/>
      <c r="H36" s="10"/>
      <c r="I36" s="10"/>
      <c r="J36" s="10"/>
      <c r="K36" s="10"/>
      <c r="M36" s="5"/>
      <c r="N36" s="10"/>
      <c r="O36" s="10"/>
      <c r="P36" s="10"/>
      <c r="Q36" s="10"/>
      <c r="R36" s="10"/>
      <c r="S36" s="10"/>
      <c r="T36" s="10"/>
      <c r="U36" s="10"/>
      <c r="V36" s="10"/>
      <c r="W36" s="10"/>
    </row>
    <row r="39" spans="1:28" x14ac:dyDescent="0.3">
      <c r="A39" s="4" t="s">
        <v>132</v>
      </c>
      <c r="N39" s="10"/>
    </row>
    <row r="40" spans="1:28" x14ac:dyDescent="0.3">
      <c r="A40" s="4" t="s">
        <v>139</v>
      </c>
      <c r="B40" s="4"/>
      <c r="C40" s="4"/>
      <c r="D40" s="4" t="s">
        <v>105</v>
      </c>
      <c r="E40" s="12">
        <f>AVERAGE(B42:K51)</f>
        <v>1.790234627208065E-17</v>
      </c>
      <c r="F40" s="4"/>
      <c r="H40" s="4" t="s">
        <v>131</v>
      </c>
      <c r="I40" s="17">
        <v>1.49</v>
      </c>
      <c r="J40" s="4"/>
      <c r="K40" s="4"/>
    </row>
    <row r="41" spans="1:28" x14ac:dyDescent="0.3">
      <c r="A41" s="20" t="s">
        <v>147</v>
      </c>
      <c r="B41" s="5">
        <v>27</v>
      </c>
      <c r="C41" s="5">
        <v>47.332999999999998</v>
      </c>
      <c r="D41" s="5">
        <v>67.665999999999997</v>
      </c>
      <c r="E41" s="5">
        <v>87.998999999999995</v>
      </c>
      <c r="F41" s="5">
        <v>108.33199999999999</v>
      </c>
      <c r="G41" s="5">
        <v>128.66499999999999</v>
      </c>
      <c r="H41" s="5">
        <v>148.99799999999999</v>
      </c>
      <c r="I41" s="5">
        <v>169.33099999999999</v>
      </c>
      <c r="J41" s="5">
        <v>189.66399999999999</v>
      </c>
      <c r="K41" s="5">
        <v>209.99699999999999</v>
      </c>
    </row>
    <row r="42" spans="1:28" x14ac:dyDescent="0.3">
      <c r="A42" s="4">
        <v>12</v>
      </c>
      <c r="B42" s="10">
        <f t="shared" ref="B42:K42" si="0">B25+($I$40-$I$23)</f>
        <v>2.0500040000000025E-2</v>
      </c>
      <c r="C42" s="10">
        <f t="shared" si="0"/>
        <v>2.3000040000000013E-2</v>
      </c>
      <c r="D42" s="10">
        <f t="shared" si="0"/>
        <v>-2.7416959999999983E-2</v>
      </c>
      <c r="E42" s="10">
        <f t="shared" si="0"/>
        <v>3.0000400000000163E-3</v>
      </c>
      <c r="F42" s="10">
        <f t="shared" si="0"/>
        <v>-3.4082959999999982E-2</v>
      </c>
      <c r="G42" s="10">
        <f t="shared" si="0"/>
        <v>-2.8666959999999981E-2</v>
      </c>
      <c r="H42" s="10">
        <f t="shared" si="0"/>
        <v>-5.7499599999999845E-3</v>
      </c>
      <c r="I42" s="10">
        <f t="shared" si="0"/>
        <v>3.5917040000000025E-2</v>
      </c>
      <c r="J42" s="10">
        <f t="shared" si="0"/>
        <v>2.5830400000000156E-3</v>
      </c>
      <c r="K42" s="10">
        <f t="shared" si="0"/>
        <v>3.5917040000000025E-2</v>
      </c>
    </row>
    <row r="43" spans="1:28" x14ac:dyDescent="0.3">
      <c r="A43" s="4">
        <v>33.444000000000003</v>
      </c>
      <c r="B43" s="10">
        <f t="shared" ref="B43:K43" si="1">B26+($I$40-$I$23)</f>
        <v>-1.0332959999999981E-2</v>
      </c>
      <c r="C43" s="10">
        <f t="shared" si="1"/>
        <v>-8.2499599999999798E-3</v>
      </c>
      <c r="D43" s="10">
        <f t="shared" si="1"/>
        <v>-6.6999959999999983E-2</v>
      </c>
      <c r="E43" s="10">
        <f t="shared" si="1"/>
        <v>-5.2832959999999984E-2</v>
      </c>
      <c r="F43" s="10">
        <f t="shared" si="1"/>
        <v>-6.6166959999999983E-2</v>
      </c>
      <c r="G43" s="10">
        <f t="shared" si="1"/>
        <v>-3.5332959999999983E-2</v>
      </c>
      <c r="H43" s="10">
        <f t="shared" si="1"/>
        <v>-1.616695999999998E-2</v>
      </c>
      <c r="I43" s="10">
        <f t="shared" si="1"/>
        <v>3.0000400000000163E-3</v>
      </c>
      <c r="J43" s="10">
        <f t="shared" si="1"/>
        <v>-1.7416959999999981E-2</v>
      </c>
      <c r="K43" s="10">
        <f t="shared" si="1"/>
        <v>-1.3666959999999985E-2</v>
      </c>
    </row>
    <row r="44" spans="1:28" x14ac:dyDescent="0.3">
      <c r="A44" s="4">
        <v>54.888000000000005</v>
      </c>
      <c r="B44" s="10">
        <f t="shared" ref="B44:K44" si="2">B27+($I$40-$I$23)</f>
        <v>1.8417040000000023E-2</v>
      </c>
      <c r="C44" s="10">
        <f t="shared" si="2"/>
        <v>1.508304000000002E-2</v>
      </c>
      <c r="D44" s="10">
        <f t="shared" si="2"/>
        <v>-4.741695999999998E-2</v>
      </c>
      <c r="E44" s="10">
        <f t="shared" si="2"/>
        <v>-4.3666959999999984E-2</v>
      </c>
      <c r="F44" s="10">
        <f t="shared" si="2"/>
        <v>-6.1999959999999979E-2</v>
      </c>
      <c r="G44" s="10">
        <f t="shared" si="2"/>
        <v>-2.9499959999999981E-2</v>
      </c>
      <c r="H44" s="10">
        <f t="shared" si="2"/>
        <v>-8.6669599999999805E-3</v>
      </c>
      <c r="I44" s="10">
        <f t="shared" si="2"/>
        <v>1.7500400000000152E-3</v>
      </c>
      <c r="J44" s="10">
        <f t="shared" si="2"/>
        <v>3.0000400000000163E-3</v>
      </c>
      <c r="K44" s="10">
        <f t="shared" si="2"/>
        <v>3.417040000000017E-3</v>
      </c>
    </row>
    <row r="45" spans="1:28" x14ac:dyDescent="0.3">
      <c r="A45" s="4">
        <v>76.332000000000008</v>
      </c>
      <c r="B45" s="10">
        <f t="shared" ref="B45:K45" si="3">B28+($I$40-$I$23)</f>
        <v>3.0917040000000021E-2</v>
      </c>
      <c r="C45" s="10">
        <f t="shared" si="3"/>
        <v>1.9250040000000024E-2</v>
      </c>
      <c r="D45" s="10">
        <f t="shared" si="3"/>
        <v>-2.4916959999999981E-2</v>
      </c>
      <c r="E45" s="10">
        <f t="shared" si="3"/>
        <v>-1.9499959999999983E-2</v>
      </c>
      <c r="F45" s="10">
        <f t="shared" si="3"/>
        <v>-4.9499959999999982E-2</v>
      </c>
      <c r="G45" s="10">
        <f t="shared" si="3"/>
        <v>-1.6999959999999981E-2</v>
      </c>
      <c r="H45" s="10">
        <f t="shared" si="3"/>
        <v>9.1704000000001479E-4</v>
      </c>
      <c r="I45" s="10">
        <f t="shared" si="3"/>
        <v>2.2167040000000013E-2</v>
      </c>
      <c r="J45" s="10">
        <f t="shared" si="3"/>
        <v>5.0830400000000178E-3</v>
      </c>
      <c r="K45" s="10">
        <f t="shared" si="3"/>
        <v>3.0083040000000019E-2</v>
      </c>
    </row>
    <row r="46" spans="1:28" x14ac:dyDescent="0.3">
      <c r="A46" s="4">
        <v>97.77600000000001</v>
      </c>
      <c r="B46" s="10">
        <f t="shared" ref="B46:K46" si="4">B29+($I$40-$I$23)</f>
        <v>3.8000040000000013E-2</v>
      </c>
      <c r="C46" s="10">
        <f t="shared" si="4"/>
        <v>3.050004000000002E-2</v>
      </c>
      <c r="D46" s="10">
        <f t="shared" si="4"/>
        <v>-8.6669599999999805E-3</v>
      </c>
      <c r="E46" s="10">
        <f t="shared" si="4"/>
        <v>-1.1166959999999983E-2</v>
      </c>
      <c r="F46" s="10">
        <f t="shared" si="4"/>
        <v>-4.6166959999999979E-2</v>
      </c>
      <c r="G46" s="10">
        <f t="shared" si="4"/>
        <v>-1.6999959999999981E-2</v>
      </c>
      <c r="H46" s="10">
        <f t="shared" si="4"/>
        <v>-3.3295999999997938E-4</v>
      </c>
      <c r="I46" s="10">
        <f t="shared" si="4"/>
        <v>1.8417040000000023E-2</v>
      </c>
      <c r="J46" s="10">
        <f t="shared" si="4"/>
        <v>-1.9999599999999812E-3</v>
      </c>
      <c r="K46" s="10">
        <f t="shared" si="4"/>
        <v>2.0917040000000012E-2</v>
      </c>
    </row>
    <row r="47" spans="1:28" x14ac:dyDescent="0.3">
      <c r="A47" s="4">
        <v>119.22000000000001</v>
      </c>
      <c r="B47" s="10">
        <f t="shared" ref="B47:K47" si="5">B30+($I$40-$I$23)</f>
        <v>4.3000040000000017E-2</v>
      </c>
      <c r="C47" s="10">
        <f t="shared" si="5"/>
        <v>3.3000040000000022E-2</v>
      </c>
      <c r="D47" s="10">
        <f t="shared" si="5"/>
        <v>-9.4999599999999809E-3</v>
      </c>
      <c r="E47" s="10">
        <f t="shared" si="5"/>
        <v>-1.2416959999999984E-2</v>
      </c>
      <c r="F47" s="10">
        <f t="shared" si="5"/>
        <v>-5.3249959999999985E-2</v>
      </c>
      <c r="G47" s="10">
        <f t="shared" si="5"/>
        <v>-2.5332959999999981E-2</v>
      </c>
      <c r="H47" s="10">
        <f t="shared" si="5"/>
        <v>-3.666959999999983E-3</v>
      </c>
      <c r="I47" s="10">
        <f t="shared" si="5"/>
        <v>2.5500040000000015E-2</v>
      </c>
      <c r="J47" s="10">
        <f t="shared" si="5"/>
        <v>3.8330400000000167E-3</v>
      </c>
      <c r="K47" s="10">
        <f t="shared" si="5"/>
        <v>2.8000040000000018E-2</v>
      </c>
    </row>
    <row r="48" spans="1:28" x14ac:dyDescent="0.3">
      <c r="A48" s="4">
        <v>140.66400000000002</v>
      </c>
      <c r="B48" s="10">
        <f t="shared" ref="B48:K48" si="6">B31+($I$40-$I$23)</f>
        <v>4.3000040000000017E-2</v>
      </c>
      <c r="C48" s="10">
        <f t="shared" si="6"/>
        <v>3.6750040000000012E-2</v>
      </c>
      <c r="D48" s="10">
        <f t="shared" si="6"/>
        <v>-9.4999599999999809E-3</v>
      </c>
      <c r="E48" s="10">
        <f t="shared" si="6"/>
        <v>-8.2499599999999798E-3</v>
      </c>
      <c r="F48" s="10">
        <f t="shared" si="6"/>
        <v>-3.8666959999999979E-2</v>
      </c>
      <c r="G48" s="10">
        <f t="shared" si="6"/>
        <v>-1.8249959999999982E-2</v>
      </c>
      <c r="H48" s="10">
        <f t="shared" si="6"/>
        <v>1.3330400000000214E-3</v>
      </c>
      <c r="I48" s="10">
        <f t="shared" si="6"/>
        <v>1.1333040000000016E-2</v>
      </c>
      <c r="J48" s="10">
        <f t="shared" si="6"/>
        <v>-4.0829599999999827E-3</v>
      </c>
      <c r="K48" s="10">
        <f t="shared" si="6"/>
        <v>1.8833040000000023E-2</v>
      </c>
    </row>
    <row r="49" spans="1:11" x14ac:dyDescent="0.3">
      <c r="A49" s="4">
        <v>162.108</v>
      </c>
      <c r="B49" s="10">
        <f t="shared" ref="B49:K49" si="7">B32+($I$40-$I$23)</f>
        <v>3.5500040000000024E-2</v>
      </c>
      <c r="C49" s="10">
        <f t="shared" si="7"/>
        <v>2.3833040000000014E-2</v>
      </c>
      <c r="D49" s="10">
        <f t="shared" si="7"/>
        <v>-1.574995999999998E-2</v>
      </c>
      <c r="E49" s="10">
        <f t="shared" si="7"/>
        <v>-6.1669599999999783E-3</v>
      </c>
      <c r="F49" s="10">
        <f t="shared" si="7"/>
        <v>-2.9916959999999982E-2</v>
      </c>
      <c r="G49" s="10">
        <f t="shared" si="7"/>
        <v>-6.9999599999999787E-3</v>
      </c>
      <c r="H49" s="10">
        <f t="shared" si="7"/>
        <v>1.3330400000000214E-3</v>
      </c>
      <c r="I49" s="10">
        <f t="shared" si="7"/>
        <v>2.3000040000000013E-2</v>
      </c>
      <c r="J49" s="10">
        <f t="shared" si="7"/>
        <v>9.6670400000000156E-3</v>
      </c>
      <c r="K49" s="10">
        <f t="shared" si="7"/>
        <v>3.0917040000000021E-2</v>
      </c>
    </row>
    <row r="50" spans="1:11" x14ac:dyDescent="0.3">
      <c r="A50" s="4">
        <v>183.55199999999999</v>
      </c>
      <c r="B50" s="10">
        <f t="shared" ref="B50:K50" si="8">B33+($I$40-$I$23)</f>
        <v>1.5917040000000021E-2</v>
      </c>
      <c r="C50" s="10">
        <f t="shared" si="8"/>
        <v>1.2583040000000018E-2</v>
      </c>
      <c r="D50" s="10">
        <f t="shared" si="8"/>
        <v>-2.3666959999999983E-2</v>
      </c>
      <c r="E50" s="10">
        <f t="shared" si="8"/>
        <v>-6.1669599999999783E-3</v>
      </c>
      <c r="F50" s="10">
        <f t="shared" si="8"/>
        <v>-2.4916959999999981E-2</v>
      </c>
      <c r="G50" s="10">
        <f t="shared" si="8"/>
        <v>-7.4995999999998009E-4</v>
      </c>
      <c r="H50" s="10">
        <f t="shared" si="8"/>
        <v>1.3000040000000018E-2</v>
      </c>
      <c r="I50" s="10">
        <f t="shared" si="8"/>
        <v>2.0500040000000025E-2</v>
      </c>
      <c r="J50" s="10">
        <f t="shared" si="8"/>
        <v>3.8330400000000167E-3</v>
      </c>
      <c r="K50" s="10">
        <f t="shared" si="8"/>
        <v>3.7167040000000012E-2</v>
      </c>
    </row>
    <row r="51" spans="1:11" x14ac:dyDescent="0.3">
      <c r="A51" s="4">
        <v>204.99599999999998</v>
      </c>
      <c r="B51" s="10">
        <f t="shared" ref="B51:K51" si="9">B34+($I$40-$I$23)</f>
        <v>2.5917040000000016E-2</v>
      </c>
      <c r="C51" s="10">
        <f t="shared" si="9"/>
        <v>2.4667040000000015E-2</v>
      </c>
      <c r="D51" s="10">
        <f t="shared" si="9"/>
        <v>6.3330400000000189E-3</v>
      </c>
      <c r="E51" s="10">
        <f t="shared" si="9"/>
        <v>2.6750040000000017E-2</v>
      </c>
      <c r="F51" s="10">
        <f t="shared" si="9"/>
        <v>-1.7832959999999981E-2</v>
      </c>
      <c r="G51" s="10">
        <f t="shared" si="9"/>
        <v>1.6333040000000021E-2</v>
      </c>
      <c r="H51" s="10">
        <f t="shared" si="9"/>
        <v>2.5083040000000015E-2</v>
      </c>
      <c r="I51" s="10">
        <f t="shared" si="9"/>
        <v>3.4667040000000024E-2</v>
      </c>
      <c r="J51" s="10">
        <f t="shared" si="9"/>
        <v>1.7167040000000022E-2</v>
      </c>
      <c r="K51" s="10">
        <f t="shared" si="9"/>
        <v>5.5083040000000014E-2</v>
      </c>
    </row>
    <row r="54" spans="1:11" x14ac:dyDescent="0.3">
      <c r="A54" s="4" t="s">
        <v>156</v>
      </c>
      <c r="H54" s="4"/>
      <c r="I54" s="16"/>
      <c r="J54" s="16"/>
    </row>
    <row r="55" spans="1:11" x14ac:dyDescent="0.3">
      <c r="A55" s="20" t="s">
        <v>147</v>
      </c>
      <c r="B55" s="4">
        <v>27</v>
      </c>
      <c r="C55" s="4">
        <v>47.332999999999998</v>
      </c>
      <c r="D55" s="4">
        <v>67.665999999999997</v>
      </c>
      <c r="E55" s="4">
        <v>87.998999999999995</v>
      </c>
      <c r="F55" s="4">
        <v>108.33199999999999</v>
      </c>
      <c r="G55" s="4">
        <v>128.66499999999999</v>
      </c>
      <c r="H55" s="4">
        <v>148.99799999999999</v>
      </c>
      <c r="I55" s="4">
        <v>169.33099999999999</v>
      </c>
      <c r="J55" s="4">
        <v>189.66399999999999</v>
      </c>
      <c r="K55" s="4">
        <v>209.99699999999999</v>
      </c>
    </row>
    <row r="56" spans="1:11" x14ac:dyDescent="0.3">
      <c r="A56" s="4">
        <v>12</v>
      </c>
      <c r="B56">
        <v>0.03</v>
      </c>
      <c r="C56">
        <v>0.11</v>
      </c>
      <c r="D56">
        <v>0.11</v>
      </c>
      <c r="E56">
        <v>0.09</v>
      </c>
      <c r="F56">
        <v>0.08</v>
      </c>
      <c r="G56">
        <v>0.08</v>
      </c>
      <c r="H56">
        <v>0.08</v>
      </c>
      <c r="I56">
        <v>0.1</v>
      </c>
      <c r="J56">
        <v>0.15</v>
      </c>
      <c r="K56">
        <v>0.15</v>
      </c>
    </row>
    <row r="57" spans="1:11" x14ac:dyDescent="0.3">
      <c r="A57" s="4">
        <v>33.444000000000003</v>
      </c>
      <c r="B57">
        <v>0.04</v>
      </c>
      <c r="C57">
        <v>0.11</v>
      </c>
      <c r="D57">
        <v>0.11</v>
      </c>
      <c r="E57">
        <v>0.11</v>
      </c>
      <c r="F57">
        <v>0.12</v>
      </c>
      <c r="G57">
        <v>0.12</v>
      </c>
      <c r="H57">
        <v>0.11</v>
      </c>
      <c r="I57">
        <v>0.11</v>
      </c>
      <c r="J57">
        <v>0.14000000000000001</v>
      </c>
      <c r="K57">
        <v>0.15</v>
      </c>
    </row>
    <row r="58" spans="1:11" x14ac:dyDescent="0.3">
      <c r="A58" s="4">
        <v>54.888000000000005</v>
      </c>
      <c r="B58">
        <v>0</v>
      </c>
      <c r="C58">
        <v>0.08</v>
      </c>
      <c r="D58">
        <v>0.11</v>
      </c>
      <c r="E58">
        <v>0.11</v>
      </c>
      <c r="F58">
        <v>0.12</v>
      </c>
      <c r="G58">
        <v>0.11</v>
      </c>
      <c r="H58">
        <v>0.11</v>
      </c>
      <c r="I58">
        <v>0.11</v>
      </c>
      <c r="J58">
        <v>0.15</v>
      </c>
      <c r="K58">
        <v>0.15</v>
      </c>
    </row>
    <row r="59" spans="1:11" x14ac:dyDescent="0.3">
      <c r="A59" s="4">
        <v>76.332000000000008</v>
      </c>
      <c r="B59">
        <v>0</v>
      </c>
      <c r="C59">
        <v>0.08</v>
      </c>
      <c r="D59">
        <v>0.08</v>
      </c>
      <c r="E59">
        <v>0.08</v>
      </c>
      <c r="F59">
        <v>0.1</v>
      </c>
      <c r="G59">
        <v>0.09</v>
      </c>
      <c r="H59">
        <v>0.08</v>
      </c>
      <c r="I59">
        <v>0.09</v>
      </c>
      <c r="J59">
        <v>0.14000000000000001</v>
      </c>
      <c r="K59">
        <v>0.13</v>
      </c>
    </row>
    <row r="60" spans="1:11" x14ac:dyDescent="0.3">
      <c r="A60" s="4">
        <v>97.77600000000001</v>
      </c>
      <c r="B60">
        <v>0.01</v>
      </c>
      <c r="C60">
        <v>0.08</v>
      </c>
      <c r="D60">
        <v>0.08</v>
      </c>
      <c r="E60">
        <v>0.08</v>
      </c>
      <c r="F60">
        <v>0.1</v>
      </c>
      <c r="G60">
        <v>0.09</v>
      </c>
      <c r="H60">
        <v>0.08</v>
      </c>
      <c r="I60">
        <v>0.09</v>
      </c>
      <c r="J60">
        <v>0.13</v>
      </c>
      <c r="K60">
        <v>0.13</v>
      </c>
    </row>
    <row r="61" spans="1:11" x14ac:dyDescent="0.3">
      <c r="A61" s="4">
        <v>119.22000000000001</v>
      </c>
      <c r="B61">
        <v>0.01</v>
      </c>
      <c r="C61">
        <v>0.05</v>
      </c>
      <c r="D61">
        <v>0.08</v>
      </c>
      <c r="E61">
        <v>0.08</v>
      </c>
      <c r="F61">
        <v>0.1</v>
      </c>
      <c r="G61">
        <v>0.09</v>
      </c>
      <c r="H61">
        <v>0.08</v>
      </c>
      <c r="I61">
        <v>0.1</v>
      </c>
      <c r="J61">
        <v>0.14000000000000001</v>
      </c>
      <c r="K61">
        <v>0.15</v>
      </c>
    </row>
    <row r="62" spans="1:11" x14ac:dyDescent="0.3">
      <c r="A62" s="4">
        <v>140.66400000000002</v>
      </c>
      <c r="B62">
        <v>0.02</v>
      </c>
      <c r="C62">
        <v>0.05</v>
      </c>
      <c r="D62">
        <v>0.08</v>
      </c>
      <c r="E62">
        <v>0.08</v>
      </c>
      <c r="F62">
        <v>0.1</v>
      </c>
      <c r="G62">
        <v>0.09</v>
      </c>
      <c r="H62">
        <v>0.08</v>
      </c>
      <c r="I62">
        <v>0.16</v>
      </c>
      <c r="J62">
        <v>0.16</v>
      </c>
      <c r="K62">
        <v>0.15</v>
      </c>
    </row>
    <row r="63" spans="1:11" x14ac:dyDescent="0.3">
      <c r="A63" s="4">
        <v>162.108</v>
      </c>
      <c r="B63">
        <v>0.05</v>
      </c>
      <c r="C63">
        <v>0.06</v>
      </c>
      <c r="D63">
        <v>0.08</v>
      </c>
      <c r="E63">
        <v>0.08</v>
      </c>
      <c r="F63">
        <v>0.1</v>
      </c>
      <c r="G63">
        <v>0.09</v>
      </c>
      <c r="H63">
        <v>0.08</v>
      </c>
      <c r="I63">
        <v>0.16</v>
      </c>
      <c r="J63">
        <v>0.18</v>
      </c>
      <c r="K63">
        <v>0.18</v>
      </c>
    </row>
    <row r="64" spans="1:11" x14ac:dyDescent="0.3">
      <c r="A64" s="4">
        <v>183.55199999999999</v>
      </c>
      <c r="B64">
        <v>0.08</v>
      </c>
      <c r="C64">
        <v>0.09</v>
      </c>
      <c r="D64">
        <v>0.09</v>
      </c>
      <c r="E64">
        <v>0.09</v>
      </c>
      <c r="F64">
        <v>0.1</v>
      </c>
      <c r="G64">
        <v>0.09</v>
      </c>
      <c r="H64">
        <v>0.09</v>
      </c>
      <c r="I64">
        <v>0.16</v>
      </c>
      <c r="J64">
        <v>0.19</v>
      </c>
      <c r="K64">
        <v>0.19</v>
      </c>
    </row>
    <row r="65" spans="1:13" x14ac:dyDescent="0.3">
      <c r="A65" s="4">
        <v>204.99599999999998</v>
      </c>
      <c r="B65">
        <v>0.08</v>
      </c>
      <c r="C65">
        <v>0.1</v>
      </c>
      <c r="D65">
        <v>0.09</v>
      </c>
      <c r="E65">
        <v>0.1</v>
      </c>
      <c r="F65">
        <v>0.11</v>
      </c>
      <c r="G65">
        <v>0.12</v>
      </c>
      <c r="H65">
        <v>0.17</v>
      </c>
      <c r="I65">
        <v>0.18</v>
      </c>
      <c r="J65">
        <v>0.19</v>
      </c>
      <c r="K65">
        <v>0.19</v>
      </c>
    </row>
    <row r="68" spans="1:13" x14ac:dyDescent="0.3">
      <c r="A68" s="4" t="s">
        <v>162</v>
      </c>
    </row>
    <row r="69" spans="1:13" x14ac:dyDescent="0.3">
      <c r="A69" s="20" t="s">
        <v>147</v>
      </c>
      <c r="B69" s="5">
        <v>27</v>
      </c>
      <c r="C69" s="5">
        <v>47.332999999999998</v>
      </c>
      <c r="D69" s="5">
        <v>67.665999999999997</v>
      </c>
      <c r="E69" s="5">
        <v>87.998999999999995</v>
      </c>
      <c r="F69" s="5">
        <v>108.33199999999999</v>
      </c>
      <c r="G69" s="5">
        <v>128.66499999999999</v>
      </c>
      <c r="H69" s="5">
        <v>148.99799999999999</v>
      </c>
      <c r="I69" s="5">
        <v>169.33099999999999</v>
      </c>
      <c r="J69" s="5">
        <v>189.66399999999999</v>
      </c>
      <c r="K69" s="5">
        <v>209.99699999999999</v>
      </c>
    </row>
    <row r="70" spans="1:13" x14ac:dyDescent="0.3">
      <c r="A70" s="4">
        <v>12</v>
      </c>
      <c r="B70" s="10">
        <f>B42+B56</f>
        <v>5.0500040000000024E-2</v>
      </c>
      <c r="C70" s="10">
        <f t="shared" ref="C70:K70" si="10">C42+C56</f>
        <v>0.13300004000000001</v>
      </c>
      <c r="D70" s="10">
        <f t="shared" si="10"/>
        <v>8.2583040000000024E-2</v>
      </c>
      <c r="E70" s="10">
        <f t="shared" si="10"/>
        <v>9.3000040000000006E-2</v>
      </c>
      <c r="F70" s="10">
        <f t="shared" si="10"/>
        <v>4.591704000000002E-2</v>
      </c>
      <c r="G70" s="10">
        <f t="shared" si="10"/>
        <v>5.1333040000000024E-2</v>
      </c>
      <c r="H70" s="10">
        <f t="shared" si="10"/>
        <v>7.4250040000000017E-2</v>
      </c>
      <c r="I70" s="10">
        <f t="shared" si="10"/>
        <v>0.13591704000000004</v>
      </c>
      <c r="J70" s="10">
        <f t="shared" si="10"/>
        <v>0.15258304</v>
      </c>
      <c r="K70" s="10">
        <f t="shared" si="10"/>
        <v>0.18591704000000003</v>
      </c>
    </row>
    <row r="71" spans="1:13" x14ac:dyDescent="0.3">
      <c r="A71" s="4">
        <v>33.444000000000003</v>
      </c>
      <c r="B71" s="10">
        <f t="shared" ref="B71:K79" si="11">B43+B57</f>
        <v>2.966704000000002E-2</v>
      </c>
      <c r="C71" s="10">
        <f t="shared" si="11"/>
        <v>0.10175004000000001</v>
      </c>
      <c r="D71" s="10">
        <f t="shared" si="11"/>
        <v>4.3000040000000017E-2</v>
      </c>
      <c r="E71" s="10">
        <f t="shared" si="11"/>
        <v>5.7167040000000016E-2</v>
      </c>
      <c r="F71" s="10">
        <f t="shared" si="11"/>
        <v>5.3833040000000013E-2</v>
      </c>
      <c r="G71" s="10">
        <f t="shared" si="11"/>
        <v>8.4667040000000013E-2</v>
      </c>
      <c r="H71" s="10">
        <f t="shared" si="11"/>
        <v>9.383304000000002E-2</v>
      </c>
      <c r="I71" s="10">
        <f t="shared" si="11"/>
        <v>0.11300004000000002</v>
      </c>
      <c r="J71" s="10">
        <f t="shared" si="11"/>
        <v>0.12258304000000003</v>
      </c>
      <c r="K71" s="10">
        <f t="shared" si="11"/>
        <v>0.13633304000000002</v>
      </c>
    </row>
    <row r="72" spans="1:13" x14ac:dyDescent="0.3">
      <c r="A72" s="4">
        <v>54.888000000000005</v>
      </c>
      <c r="B72" s="10">
        <f t="shared" si="11"/>
        <v>1.8417040000000023E-2</v>
      </c>
      <c r="C72" s="10">
        <f t="shared" si="11"/>
        <v>9.5083040000000021E-2</v>
      </c>
      <c r="D72" s="10">
        <f t="shared" si="11"/>
        <v>6.258304000000002E-2</v>
      </c>
      <c r="E72" s="10">
        <f t="shared" si="11"/>
        <v>6.633304000000001E-2</v>
      </c>
      <c r="F72" s="10">
        <f t="shared" si="11"/>
        <v>5.8000040000000017E-2</v>
      </c>
      <c r="G72" s="10">
        <f t="shared" si="11"/>
        <v>8.0500040000000023E-2</v>
      </c>
      <c r="H72" s="10">
        <f t="shared" si="11"/>
        <v>0.10133304000000001</v>
      </c>
      <c r="I72" s="10">
        <f t="shared" si="11"/>
        <v>0.11175004000000002</v>
      </c>
      <c r="J72" s="10">
        <f t="shared" si="11"/>
        <v>0.15300004</v>
      </c>
      <c r="K72" s="10">
        <f t="shared" si="11"/>
        <v>0.15341704</v>
      </c>
    </row>
    <row r="73" spans="1:13" x14ac:dyDescent="0.3">
      <c r="A73" s="4">
        <v>76.332000000000008</v>
      </c>
      <c r="B73" s="10">
        <f t="shared" si="11"/>
        <v>3.0917040000000021E-2</v>
      </c>
      <c r="C73" s="10">
        <f t="shared" si="11"/>
        <v>9.9250040000000025E-2</v>
      </c>
      <c r="D73" s="10">
        <f t="shared" si="11"/>
        <v>5.5083040000000021E-2</v>
      </c>
      <c r="E73" s="10">
        <f t="shared" si="11"/>
        <v>6.0500040000000019E-2</v>
      </c>
      <c r="F73" s="10">
        <f t="shared" si="11"/>
        <v>5.0500040000000024E-2</v>
      </c>
      <c r="G73" s="10">
        <f t="shared" si="11"/>
        <v>7.3000040000000016E-2</v>
      </c>
      <c r="H73" s="10">
        <f t="shared" si="11"/>
        <v>8.0917040000000023E-2</v>
      </c>
      <c r="I73" s="10">
        <f t="shared" si="11"/>
        <v>0.11216704000000001</v>
      </c>
      <c r="J73" s="10">
        <f t="shared" si="11"/>
        <v>0.14508304000000002</v>
      </c>
      <c r="K73" s="10">
        <f t="shared" si="11"/>
        <v>0.16008304000000001</v>
      </c>
    </row>
    <row r="74" spans="1:13" x14ac:dyDescent="0.3">
      <c r="A74" s="4">
        <v>97.77600000000001</v>
      </c>
      <c r="B74" s="10">
        <f t="shared" si="11"/>
        <v>4.8000040000000015E-2</v>
      </c>
      <c r="C74" s="10">
        <f t="shared" si="11"/>
        <v>0.11050004000000002</v>
      </c>
      <c r="D74" s="10">
        <f t="shared" si="11"/>
        <v>7.1333040000000014E-2</v>
      </c>
      <c r="E74" s="10">
        <f t="shared" si="11"/>
        <v>6.8833040000000012E-2</v>
      </c>
      <c r="F74" s="10">
        <f t="shared" si="11"/>
        <v>5.3833040000000026E-2</v>
      </c>
      <c r="G74" s="10">
        <f t="shared" si="11"/>
        <v>7.3000040000000016E-2</v>
      </c>
      <c r="H74" s="10">
        <f t="shared" si="11"/>
        <v>7.9667040000000022E-2</v>
      </c>
      <c r="I74" s="10">
        <f t="shared" si="11"/>
        <v>0.10841704000000002</v>
      </c>
      <c r="J74" s="10">
        <f t="shared" si="11"/>
        <v>0.12800004000000004</v>
      </c>
      <c r="K74" s="10">
        <f t="shared" si="11"/>
        <v>0.15091704</v>
      </c>
    </row>
    <row r="75" spans="1:13" x14ac:dyDescent="0.3">
      <c r="A75" s="4">
        <v>119.22000000000001</v>
      </c>
      <c r="B75" s="10">
        <f t="shared" si="11"/>
        <v>5.3000040000000019E-2</v>
      </c>
      <c r="C75" s="10">
        <f t="shared" si="11"/>
        <v>8.3000040000000025E-2</v>
      </c>
      <c r="D75" s="10">
        <f t="shared" si="11"/>
        <v>7.0500040000000014E-2</v>
      </c>
      <c r="E75" s="10">
        <f t="shared" si="11"/>
        <v>6.7583040000000011E-2</v>
      </c>
      <c r="F75" s="10">
        <f t="shared" si="11"/>
        <v>4.675004000000002E-2</v>
      </c>
      <c r="G75" s="10">
        <f t="shared" si="11"/>
        <v>6.4667040000000009E-2</v>
      </c>
      <c r="H75" s="10">
        <f t="shared" si="11"/>
        <v>7.6333040000000019E-2</v>
      </c>
      <c r="I75" s="10">
        <f t="shared" si="11"/>
        <v>0.12550004000000003</v>
      </c>
      <c r="J75" s="10">
        <f t="shared" si="11"/>
        <v>0.14383304000000002</v>
      </c>
      <c r="K75" s="10">
        <f t="shared" si="11"/>
        <v>0.17800004000000003</v>
      </c>
    </row>
    <row r="76" spans="1:13" x14ac:dyDescent="0.3">
      <c r="A76" s="4">
        <v>140.66400000000002</v>
      </c>
      <c r="B76" s="10">
        <f t="shared" si="11"/>
        <v>6.3000040000000021E-2</v>
      </c>
      <c r="C76" s="10">
        <f t="shared" si="11"/>
        <v>8.6750040000000014E-2</v>
      </c>
      <c r="D76" s="10">
        <f t="shared" si="11"/>
        <v>7.0500040000000014E-2</v>
      </c>
      <c r="E76" s="10">
        <f t="shared" si="11"/>
        <v>7.1750040000000015E-2</v>
      </c>
      <c r="F76" s="10">
        <f t="shared" si="11"/>
        <v>6.1333040000000026E-2</v>
      </c>
      <c r="G76" s="10">
        <f t="shared" si="11"/>
        <v>7.1750040000000015E-2</v>
      </c>
      <c r="H76" s="10">
        <f t="shared" si="11"/>
        <v>8.1333040000000023E-2</v>
      </c>
      <c r="I76" s="10">
        <f t="shared" si="11"/>
        <v>0.17133304000000002</v>
      </c>
      <c r="J76" s="10">
        <f t="shared" si="11"/>
        <v>0.15591704000000001</v>
      </c>
      <c r="K76" s="10">
        <f t="shared" si="11"/>
        <v>0.16883304000000002</v>
      </c>
    </row>
    <row r="77" spans="1:13" x14ac:dyDescent="0.3">
      <c r="A77" s="4">
        <v>162.108</v>
      </c>
      <c r="B77" s="10">
        <f t="shared" si="11"/>
        <v>8.5500040000000027E-2</v>
      </c>
      <c r="C77" s="10">
        <f t="shared" si="11"/>
        <v>8.3833040000000011E-2</v>
      </c>
      <c r="D77" s="10">
        <f t="shared" si="11"/>
        <v>6.4250040000000022E-2</v>
      </c>
      <c r="E77" s="10">
        <f t="shared" si="11"/>
        <v>7.3833040000000016E-2</v>
      </c>
      <c r="F77" s="10">
        <f t="shared" si="11"/>
        <v>7.0083040000000027E-2</v>
      </c>
      <c r="G77" s="10">
        <f t="shared" si="11"/>
        <v>8.3000040000000025E-2</v>
      </c>
      <c r="H77" s="10">
        <f t="shared" si="11"/>
        <v>8.1333040000000023E-2</v>
      </c>
      <c r="I77" s="10">
        <f t="shared" si="11"/>
        <v>0.18300004000000003</v>
      </c>
      <c r="J77" s="10">
        <f t="shared" si="11"/>
        <v>0.18966704000000001</v>
      </c>
      <c r="K77" s="10">
        <f t="shared" si="11"/>
        <v>0.21091704</v>
      </c>
    </row>
    <row r="78" spans="1:13" x14ac:dyDescent="0.3">
      <c r="A78" s="4">
        <v>183.55199999999999</v>
      </c>
      <c r="B78" s="10">
        <f t="shared" si="11"/>
        <v>9.5917040000000023E-2</v>
      </c>
      <c r="C78" s="10">
        <f t="shared" si="11"/>
        <v>0.10258304000000001</v>
      </c>
      <c r="D78" s="10">
        <f t="shared" si="11"/>
        <v>6.633304000000001E-2</v>
      </c>
      <c r="E78" s="10">
        <f t="shared" si="11"/>
        <v>8.3833040000000025E-2</v>
      </c>
      <c r="F78" s="10">
        <f t="shared" si="11"/>
        <v>7.5083040000000018E-2</v>
      </c>
      <c r="G78" s="10">
        <f t="shared" si="11"/>
        <v>8.9250040000000017E-2</v>
      </c>
      <c r="H78" s="10">
        <f t="shared" si="11"/>
        <v>0.10300004000000001</v>
      </c>
      <c r="I78" s="10">
        <f t="shared" si="11"/>
        <v>0.18050004000000003</v>
      </c>
      <c r="J78" s="10">
        <f t="shared" si="11"/>
        <v>0.19383304000000001</v>
      </c>
      <c r="K78" s="10">
        <f t="shared" si="11"/>
        <v>0.22716704000000001</v>
      </c>
      <c r="M78" s="4"/>
    </row>
    <row r="79" spans="1:13" x14ac:dyDescent="0.3">
      <c r="A79" s="4">
        <v>204.99599999999998</v>
      </c>
      <c r="B79" s="10">
        <f t="shared" si="11"/>
        <v>0.10591704000000002</v>
      </c>
      <c r="C79" s="10">
        <f t="shared" si="11"/>
        <v>0.12466704000000002</v>
      </c>
      <c r="D79" s="10">
        <f t="shared" si="11"/>
        <v>9.6333040000000009E-2</v>
      </c>
      <c r="E79" s="10">
        <f t="shared" si="11"/>
        <v>0.12675004000000001</v>
      </c>
      <c r="F79" s="10">
        <f t="shared" si="11"/>
        <v>9.216704000000002E-2</v>
      </c>
      <c r="G79" s="10">
        <f t="shared" si="11"/>
        <v>0.13633304000000002</v>
      </c>
      <c r="H79" s="10">
        <f t="shared" si="11"/>
        <v>0.19508304000000004</v>
      </c>
      <c r="I79" s="10">
        <f t="shared" si="11"/>
        <v>0.21466704000000003</v>
      </c>
      <c r="J79" s="10">
        <f t="shared" si="11"/>
        <v>0.20716704000000002</v>
      </c>
      <c r="K79" s="10">
        <f t="shared" si="11"/>
        <v>0.24508304000000003</v>
      </c>
    </row>
    <row r="82" spans="2:11" x14ac:dyDescent="0.3">
      <c r="B82" s="4" t="s">
        <v>133</v>
      </c>
      <c r="C82" s="4"/>
      <c r="D82" s="4"/>
      <c r="E82" s="4"/>
      <c r="F82" s="4" t="s">
        <v>134</v>
      </c>
      <c r="H82" s="4" t="s">
        <v>108</v>
      </c>
      <c r="I82" s="16">
        <f>I54</f>
        <v>0</v>
      </c>
    </row>
    <row r="83" spans="2:11" x14ac:dyDescent="0.3">
      <c r="B83" s="10">
        <f>-1*B70</f>
        <v>-5.0500040000000024E-2</v>
      </c>
      <c r="C83" s="10">
        <f t="shared" ref="C83:K83" si="12">-1*C70</f>
        <v>-0.13300004000000001</v>
      </c>
      <c r="D83" s="10">
        <f t="shared" si="12"/>
        <v>-8.2583040000000024E-2</v>
      </c>
      <c r="E83" s="10">
        <f t="shared" si="12"/>
        <v>-9.3000040000000006E-2</v>
      </c>
      <c r="F83" s="10">
        <f t="shared" si="12"/>
        <v>-4.591704000000002E-2</v>
      </c>
      <c r="G83" s="10">
        <f t="shared" si="12"/>
        <v>-5.1333040000000024E-2</v>
      </c>
      <c r="H83" s="10">
        <f t="shared" si="12"/>
        <v>-7.4250040000000017E-2</v>
      </c>
      <c r="I83" s="10">
        <f t="shared" si="12"/>
        <v>-0.13591704000000004</v>
      </c>
      <c r="J83" s="10">
        <f t="shared" si="12"/>
        <v>-0.15258304</v>
      </c>
      <c r="K83" s="10">
        <f t="shared" si="12"/>
        <v>-0.18591704000000003</v>
      </c>
    </row>
    <row r="84" spans="2:11" x14ac:dyDescent="0.3">
      <c r="B84" s="10">
        <f t="shared" ref="B84:K92" si="13">-1*B71</f>
        <v>-2.966704000000002E-2</v>
      </c>
      <c r="C84" s="10">
        <f t="shared" si="13"/>
        <v>-0.10175004000000001</v>
      </c>
      <c r="D84" s="10">
        <f t="shared" si="13"/>
        <v>-4.3000040000000017E-2</v>
      </c>
      <c r="E84" s="10">
        <f t="shared" si="13"/>
        <v>-5.7167040000000016E-2</v>
      </c>
      <c r="F84" s="10">
        <f t="shared" si="13"/>
        <v>-5.3833040000000013E-2</v>
      </c>
      <c r="G84" s="10">
        <f t="shared" si="13"/>
        <v>-8.4667040000000013E-2</v>
      </c>
      <c r="H84" s="10">
        <f t="shared" si="13"/>
        <v>-9.383304000000002E-2</v>
      </c>
      <c r="I84" s="10">
        <f t="shared" si="13"/>
        <v>-0.11300004000000002</v>
      </c>
      <c r="J84" s="10">
        <f t="shared" si="13"/>
        <v>-0.12258304000000003</v>
      </c>
      <c r="K84" s="10">
        <f t="shared" si="13"/>
        <v>-0.13633304000000002</v>
      </c>
    </row>
    <row r="85" spans="2:11" x14ac:dyDescent="0.3">
      <c r="B85" s="10">
        <f t="shared" si="13"/>
        <v>-1.8417040000000023E-2</v>
      </c>
      <c r="C85" s="10">
        <f t="shared" si="13"/>
        <v>-9.5083040000000021E-2</v>
      </c>
      <c r="D85" s="10">
        <f t="shared" si="13"/>
        <v>-6.258304000000002E-2</v>
      </c>
      <c r="E85" s="10">
        <f t="shared" si="13"/>
        <v>-6.633304000000001E-2</v>
      </c>
      <c r="F85" s="10">
        <f t="shared" si="13"/>
        <v>-5.8000040000000017E-2</v>
      </c>
      <c r="G85" s="10">
        <f t="shared" si="13"/>
        <v>-8.0500040000000023E-2</v>
      </c>
      <c r="H85" s="10">
        <f t="shared" si="13"/>
        <v>-0.10133304000000001</v>
      </c>
      <c r="I85" s="10">
        <f t="shared" si="13"/>
        <v>-0.11175004000000002</v>
      </c>
      <c r="J85" s="10">
        <f t="shared" si="13"/>
        <v>-0.15300004</v>
      </c>
      <c r="K85" s="10">
        <f t="shared" si="13"/>
        <v>-0.15341704</v>
      </c>
    </row>
    <row r="86" spans="2:11" x14ac:dyDescent="0.3">
      <c r="B86" s="10">
        <f t="shared" si="13"/>
        <v>-3.0917040000000021E-2</v>
      </c>
      <c r="C86" s="10">
        <f t="shared" si="13"/>
        <v>-9.9250040000000025E-2</v>
      </c>
      <c r="D86" s="10">
        <f t="shared" si="13"/>
        <v>-5.5083040000000021E-2</v>
      </c>
      <c r="E86" s="10">
        <f t="shared" si="13"/>
        <v>-6.0500040000000019E-2</v>
      </c>
      <c r="F86" s="10">
        <f t="shared" si="13"/>
        <v>-5.0500040000000024E-2</v>
      </c>
      <c r="G86" s="10">
        <f t="shared" si="13"/>
        <v>-7.3000040000000016E-2</v>
      </c>
      <c r="H86" s="10">
        <f t="shared" si="13"/>
        <v>-8.0917040000000023E-2</v>
      </c>
      <c r="I86" s="10">
        <f t="shared" si="13"/>
        <v>-0.11216704000000001</v>
      </c>
      <c r="J86" s="10">
        <f t="shared" si="13"/>
        <v>-0.14508304000000002</v>
      </c>
      <c r="K86" s="10">
        <f t="shared" si="13"/>
        <v>-0.16008304000000001</v>
      </c>
    </row>
    <row r="87" spans="2:11" x14ac:dyDescent="0.3">
      <c r="B87" s="10">
        <f t="shared" si="13"/>
        <v>-4.8000040000000015E-2</v>
      </c>
      <c r="C87" s="10">
        <f t="shared" si="13"/>
        <v>-0.11050004000000002</v>
      </c>
      <c r="D87" s="10">
        <f t="shared" si="13"/>
        <v>-7.1333040000000014E-2</v>
      </c>
      <c r="E87" s="10">
        <f t="shared" si="13"/>
        <v>-6.8833040000000012E-2</v>
      </c>
      <c r="F87" s="10">
        <f t="shared" si="13"/>
        <v>-5.3833040000000026E-2</v>
      </c>
      <c r="G87" s="10">
        <f t="shared" si="13"/>
        <v>-7.3000040000000016E-2</v>
      </c>
      <c r="H87" s="10">
        <f t="shared" si="13"/>
        <v>-7.9667040000000022E-2</v>
      </c>
      <c r="I87" s="10">
        <f t="shared" si="13"/>
        <v>-0.10841704000000002</v>
      </c>
      <c r="J87" s="10">
        <f t="shared" si="13"/>
        <v>-0.12800004000000004</v>
      </c>
      <c r="K87" s="10">
        <f t="shared" si="13"/>
        <v>-0.15091704</v>
      </c>
    </row>
    <row r="88" spans="2:11" x14ac:dyDescent="0.3">
      <c r="B88" s="10">
        <f t="shared" si="13"/>
        <v>-5.3000040000000019E-2</v>
      </c>
      <c r="C88" s="10">
        <f t="shared" si="13"/>
        <v>-8.3000040000000025E-2</v>
      </c>
      <c r="D88" s="10">
        <f t="shared" si="13"/>
        <v>-7.0500040000000014E-2</v>
      </c>
      <c r="E88" s="10">
        <f t="shared" si="13"/>
        <v>-6.7583040000000011E-2</v>
      </c>
      <c r="F88" s="10">
        <f t="shared" si="13"/>
        <v>-4.675004000000002E-2</v>
      </c>
      <c r="G88" s="10">
        <f t="shared" si="13"/>
        <v>-6.4667040000000009E-2</v>
      </c>
      <c r="H88" s="10">
        <f t="shared" si="13"/>
        <v>-7.6333040000000019E-2</v>
      </c>
      <c r="I88" s="10">
        <f t="shared" si="13"/>
        <v>-0.12550004000000003</v>
      </c>
      <c r="J88" s="10">
        <f t="shared" si="13"/>
        <v>-0.14383304000000002</v>
      </c>
      <c r="K88" s="10">
        <f t="shared" si="13"/>
        <v>-0.17800004000000003</v>
      </c>
    </row>
    <row r="89" spans="2:11" x14ac:dyDescent="0.3">
      <c r="B89" s="10">
        <f t="shared" si="13"/>
        <v>-6.3000040000000021E-2</v>
      </c>
      <c r="C89" s="10">
        <f t="shared" si="13"/>
        <v>-8.6750040000000014E-2</v>
      </c>
      <c r="D89" s="10">
        <f t="shared" si="13"/>
        <v>-7.0500040000000014E-2</v>
      </c>
      <c r="E89" s="10">
        <f t="shared" si="13"/>
        <v>-7.1750040000000015E-2</v>
      </c>
      <c r="F89" s="10">
        <f t="shared" si="13"/>
        <v>-6.1333040000000026E-2</v>
      </c>
      <c r="G89" s="10">
        <f t="shared" si="13"/>
        <v>-7.1750040000000015E-2</v>
      </c>
      <c r="H89" s="10">
        <f t="shared" si="13"/>
        <v>-8.1333040000000023E-2</v>
      </c>
      <c r="I89" s="10">
        <f t="shared" si="13"/>
        <v>-0.17133304000000002</v>
      </c>
      <c r="J89" s="10">
        <f t="shared" si="13"/>
        <v>-0.15591704000000001</v>
      </c>
      <c r="K89" s="10">
        <f t="shared" si="13"/>
        <v>-0.16883304000000002</v>
      </c>
    </row>
    <row r="90" spans="2:11" x14ac:dyDescent="0.3">
      <c r="B90" s="10">
        <f t="shared" si="13"/>
        <v>-8.5500040000000027E-2</v>
      </c>
      <c r="C90" s="10">
        <f t="shared" si="13"/>
        <v>-8.3833040000000011E-2</v>
      </c>
      <c r="D90" s="10">
        <f t="shared" si="13"/>
        <v>-6.4250040000000022E-2</v>
      </c>
      <c r="E90" s="10">
        <f t="shared" si="13"/>
        <v>-7.3833040000000016E-2</v>
      </c>
      <c r="F90" s="10">
        <f t="shared" si="13"/>
        <v>-7.0083040000000027E-2</v>
      </c>
      <c r="G90" s="10">
        <f t="shared" si="13"/>
        <v>-8.3000040000000025E-2</v>
      </c>
      <c r="H90" s="10">
        <f t="shared" si="13"/>
        <v>-8.1333040000000023E-2</v>
      </c>
      <c r="I90" s="10">
        <f t="shared" si="13"/>
        <v>-0.18300004000000003</v>
      </c>
      <c r="J90" s="10">
        <f t="shared" si="13"/>
        <v>-0.18966704000000001</v>
      </c>
      <c r="K90" s="10">
        <f t="shared" si="13"/>
        <v>-0.21091704</v>
      </c>
    </row>
    <row r="91" spans="2:11" x14ac:dyDescent="0.3">
      <c r="B91" s="10">
        <f t="shared" si="13"/>
        <v>-9.5917040000000023E-2</v>
      </c>
      <c r="C91" s="10">
        <f t="shared" si="13"/>
        <v>-0.10258304000000001</v>
      </c>
      <c r="D91" s="10">
        <f t="shared" si="13"/>
        <v>-6.633304000000001E-2</v>
      </c>
      <c r="E91" s="10">
        <f t="shared" si="13"/>
        <v>-8.3833040000000025E-2</v>
      </c>
      <c r="F91" s="10">
        <f t="shared" si="13"/>
        <v>-7.5083040000000018E-2</v>
      </c>
      <c r="G91" s="10">
        <f t="shared" si="13"/>
        <v>-8.9250040000000017E-2</v>
      </c>
      <c r="H91" s="10">
        <f t="shared" si="13"/>
        <v>-0.10300004000000001</v>
      </c>
      <c r="I91" s="10">
        <f t="shared" si="13"/>
        <v>-0.18050004000000003</v>
      </c>
      <c r="J91" s="10">
        <f t="shared" si="13"/>
        <v>-0.19383304000000001</v>
      </c>
      <c r="K91" s="10">
        <f t="shared" si="13"/>
        <v>-0.22716704000000001</v>
      </c>
    </row>
    <row r="92" spans="2:11" x14ac:dyDescent="0.3">
      <c r="B92" s="10">
        <f t="shared" si="13"/>
        <v>-0.10591704000000002</v>
      </c>
      <c r="C92" s="10">
        <f t="shared" si="13"/>
        <v>-0.12466704000000002</v>
      </c>
      <c r="D92" s="10">
        <f t="shared" si="13"/>
        <v>-9.6333040000000009E-2</v>
      </c>
      <c r="E92" s="10">
        <f t="shared" si="13"/>
        <v>-0.12675004000000001</v>
      </c>
      <c r="F92" s="10">
        <f t="shared" si="13"/>
        <v>-9.216704000000002E-2</v>
      </c>
      <c r="G92" s="10">
        <f t="shared" si="13"/>
        <v>-0.13633304000000002</v>
      </c>
      <c r="H92" s="10">
        <f t="shared" si="13"/>
        <v>-0.19508304000000004</v>
      </c>
      <c r="I92" s="10">
        <f t="shared" si="13"/>
        <v>-0.21466704000000003</v>
      </c>
      <c r="J92" s="10">
        <f t="shared" si="13"/>
        <v>-0.20716704000000002</v>
      </c>
      <c r="K92" s="10">
        <f t="shared" si="13"/>
        <v>-0.24508304000000003</v>
      </c>
    </row>
    <row r="94" spans="2:11" x14ac:dyDescent="0.3">
      <c r="B94" s="4" t="s">
        <v>163</v>
      </c>
    </row>
    <row r="95" spans="2:11" x14ac:dyDescent="0.3">
      <c r="B95" t="str">
        <f t="shared" ref="B95:B104" si="14">"#*#"&amp;"        "&amp;TEXT(B83,"0.000000")&amp;", "&amp;TEXT(C83,"0.000000")&amp;", "&amp;TEXT(D83,"0.000000")&amp;", "&amp;TEXT(E83,"0.000000")&amp;", "&amp;TEXT(F83,"0.000000")&amp;", "&amp;TEXT(G83,"0.000000")&amp;", "&amp;TEXT(H83,"0.000000")&amp;", "&amp;TEXT(I83,"0.000000")&amp;", "&amp;TEXT(J83,"0.000000")&amp;", "&amp;TEXT(K83,"0.000000")</f>
        <v>#*#        -0.050500, -0.133000, -0.082583, -0.093000, -0.045917, -0.051333, -0.074250, -0.135917, -0.152583, -0.185917</v>
      </c>
    </row>
    <row r="96" spans="2:11" x14ac:dyDescent="0.3">
      <c r="B96" t="str">
        <f t="shared" si="14"/>
        <v>#*#        -0.029667, -0.101750, -0.043000, -0.057167, -0.053833, -0.084667, -0.093833, -0.113000, -0.122583, -0.136333</v>
      </c>
    </row>
    <row r="97" spans="2:13" x14ac:dyDescent="0.3">
      <c r="B97" t="str">
        <f t="shared" si="14"/>
        <v>#*#        -0.018417, -0.095083, -0.062583, -0.066333, -0.058000, -0.080500, -0.101333, -0.111750, -0.153000, -0.153417</v>
      </c>
    </row>
    <row r="98" spans="2:13" x14ac:dyDescent="0.3">
      <c r="B98" t="str">
        <f t="shared" si="14"/>
        <v>#*#        -0.030917, -0.099250, -0.055083, -0.060500, -0.050500, -0.073000, -0.080917, -0.112167, -0.145083, -0.160083</v>
      </c>
    </row>
    <row r="99" spans="2:13" x14ac:dyDescent="0.3">
      <c r="B99" t="str">
        <f t="shared" si="14"/>
        <v>#*#        -0.048000, -0.110500, -0.071333, -0.068833, -0.053833, -0.073000, -0.079667, -0.108417, -0.128000, -0.150917</v>
      </c>
    </row>
    <row r="100" spans="2:13" x14ac:dyDescent="0.3">
      <c r="B100" t="str">
        <f t="shared" si="14"/>
        <v>#*#        -0.053000, -0.083000, -0.070500, -0.067583, -0.046750, -0.064667, -0.076333, -0.125500, -0.143833, -0.178000</v>
      </c>
    </row>
    <row r="101" spans="2:13" x14ac:dyDescent="0.3">
      <c r="B101" t="str">
        <f t="shared" si="14"/>
        <v>#*#        -0.063000, -0.086750, -0.070500, -0.071750, -0.061333, -0.071750, -0.081333, -0.171333, -0.155917, -0.168833</v>
      </c>
    </row>
    <row r="102" spans="2:13" x14ac:dyDescent="0.3">
      <c r="B102" t="str">
        <f t="shared" si="14"/>
        <v>#*#        -0.085500, -0.083833, -0.064250, -0.073833, -0.070083, -0.083000, -0.081333, -0.183000, -0.189667, -0.210917</v>
      </c>
    </row>
    <row r="103" spans="2:13" x14ac:dyDescent="0.3">
      <c r="B103" t="str">
        <f t="shared" si="14"/>
        <v>#*#        -0.095917, -0.102583, -0.066333, -0.083833, -0.075083, -0.089250, -0.103000, -0.180500, -0.193833, -0.227167</v>
      </c>
      <c r="M103" s="4" t="s">
        <v>135</v>
      </c>
    </row>
    <row r="104" spans="2:13" x14ac:dyDescent="0.3">
      <c r="B104" t="str">
        <f t="shared" si="14"/>
        <v>#*#        -0.105917, -0.124667, -0.096333, -0.126750, -0.092167, -0.136333, -0.195083, -0.214667, -0.207167, -0.245083</v>
      </c>
      <c r="M104" t="s">
        <v>106</v>
      </c>
    </row>
    <row r="105" spans="2:13" x14ac:dyDescent="0.3">
      <c r="M105" t="s">
        <v>107</v>
      </c>
    </row>
  </sheetData>
  <conditionalFormatting sqref="N36:W36 B36:K36">
    <cfRule type="colorScale" priority="29">
      <colorScale>
        <cfvo type="num" val="-0.15"/>
        <cfvo type="num" val="0"/>
        <cfvo type="num" val="0.15"/>
        <color rgb="FF00B0F0"/>
        <color theme="0"/>
        <color rgb="FFFF0000"/>
      </colorScale>
    </cfRule>
  </conditionalFormatting>
  <conditionalFormatting sqref="B83:K92">
    <cfRule type="colorScale" priority="22">
      <colorScale>
        <cfvo type="num" val="-0.15"/>
        <cfvo type="num" val="0"/>
        <cfvo type="num" val="0.15"/>
        <color rgb="FF00B0F0"/>
        <color theme="0"/>
        <color rgb="FFFF0000"/>
      </colorScale>
    </cfRule>
  </conditionalFormatting>
  <conditionalFormatting sqref="N24:W24 N25:R33">
    <cfRule type="colorScale" priority="21">
      <colorScale>
        <cfvo type="num" val="-0.15"/>
        <cfvo type="num" val="0"/>
        <cfvo type="num" val="0.15"/>
        <color rgb="FF00B0F0"/>
        <color theme="0"/>
        <color rgb="FFFF0000"/>
      </colorScale>
    </cfRule>
  </conditionalFormatting>
  <conditionalFormatting sqref="B25:K34">
    <cfRule type="colorScale" priority="18">
      <colorScale>
        <cfvo type="num" val="-0.15"/>
        <cfvo type="num" val="0"/>
        <cfvo type="num" val="0.15"/>
        <color rgb="FF00B0F0"/>
        <color theme="0"/>
        <color rgb="FFFF0000"/>
      </colorScale>
    </cfRule>
  </conditionalFormatting>
  <conditionalFormatting sqref="B42:K51">
    <cfRule type="colorScale" priority="17">
      <colorScale>
        <cfvo type="num" val="-0.15"/>
        <cfvo type="num" val="0"/>
        <cfvo type="num" val="0.15"/>
        <color rgb="FF00B0F0"/>
        <color theme="0"/>
        <color rgb="FFFF0000"/>
      </colorScale>
    </cfRule>
  </conditionalFormatting>
  <conditionalFormatting sqref="S25:AB34">
    <cfRule type="colorScale" priority="14">
      <colorScale>
        <cfvo type="num" val="-0.15"/>
        <cfvo type="num" val="0"/>
        <cfvo type="num" val="0.15"/>
        <color rgb="FF00B0F0"/>
        <color theme="0"/>
        <color rgb="FFFF0000"/>
      </colorScale>
    </cfRule>
  </conditionalFormatting>
  <conditionalFormatting sqref="B70:K79">
    <cfRule type="colorScale" priority="5">
      <colorScale>
        <cfvo type="num" val="-0.15"/>
        <cfvo type="num" val="0"/>
        <cfvo type="num" val="0.15"/>
        <color rgb="FF00B0F0"/>
        <color theme="0"/>
        <color rgb="FFFF0000"/>
      </colorScale>
    </cfRule>
  </conditionalFormatting>
  <conditionalFormatting sqref="B56:K65">
    <cfRule type="colorScale" priority="1">
      <colorScale>
        <cfvo type="num" val="-0.15"/>
        <cfvo type="num" val="0"/>
        <cfvo type="num" val="0.15"/>
        <color rgb="FF00B0F0"/>
        <color theme="0"/>
        <color rgb="FFFF0000"/>
      </colorScale>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20645-6D4E-4C56-98F9-89058F9F9E0D}">
  <sheetPr codeName="Sheet7"/>
  <dimension ref="A11:Y41"/>
  <sheetViews>
    <sheetView workbookViewId="0">
      <selection activeCell="C11" sqref="C11"/>
    </sheetView>
  </sheetViews>
  <sheetFormatPr defaultRowHeight="14.4" x14ac:dyDescent="0.3"/>
  <cols>
    <col min="13" max="13" width="7.109375" bestFit="1" customWidth="1"/>
    <col min="14" max="17" width="5.5546875" bestFit="1" customWidth="1"/>
    <col min="18" max="23" width="6.5546875" bestFit="1" customWidth="1"/>
  </cols>
  <sheetData>
    <row r="11" spans="1:25" x14ac:dyDescent="0.3">
      <c r="X11" s="4"/>
    </row>
    <row r="13" spans="1:25" x14ac:dyDescent="0.3">
      <c r="A13" s="4" t="s">
        <v>157</v>
      </c>
      <c r="C13" s="4"/>
      <c r="D13" s="4"/>
      <c r="E13" s="4"/>
      <c r="N13" s="4" t="s">
        <v>165</v>
      </c>
    </row>
    <row r="14" spans="1:25" x14ac:dyDescent="0.3">
      <c r="F14" s="4"/>
      <c r="G14" s="4" t="s">
        <v>130</v>
      </c>
      <c r="H14" s="18">
        <f>AVERAGE(C16:L25)</f>
        <v>0.11088888888888881</v>
      </c>
      <c r="I14" s="4" t="s">
        <v>109</v>
      </c>
      <c r="K14" s="4"/>
      <c r="N14" t="s">
        <v>164</v>
      </c>
    </row>
    <row r="15" spans="1:25" x14ac:dyDescent="0.3">
      <c r="A15" s="20" t="s">
        <v>147</v>
      </c>
      <c r="B15" s="4">
        <v>27</v>
      </c>
      <c r="C15" s="4">
        <v>47.332999999999998</v>
      </c>
      <c r="D15" s="4">
        <v>67.665999999999997</v>
      </c>
      <c r="E15" s="4">
        <v>87.998999999999995</v>
      </c>
      <c r="F15" s="4">
        <v>108.33199999999999</v>
      </c>
      <c r="G15" s="4">
        <v>128.66499999999999</v>
      </c>
      <c r="H15" s="4">
        <v>148.99799999999999</v>
      </c>
      <c r="I15" s="4">
        <v>169.33099999999999</v>
      </c>
      <c r="J15" s="4">
        <v>189.66399999999999</v>
      </c>
      <c r="K15" s="4">
        <v>209.99699999999999</v>
      </c>
      <c r="L15" s="4"/>
      <c r="M15" s="20" t="s">
        <v>147</v>
      </c>
      <c r="N15" s="4">
        <v>27</v>
      </c>
      <c r="O15" s="4">
        <v>47.332999999999998</v>
      </c>
      <c r="P15" s="4">
        <v>67.665999999999997</v>
      </c>
      <c r="Q15" s="4">
        <v>87.998999999999995</v>
      </c>
      <c r="R15" s="4">
        <v>108.33199999999999</v>
      </c>
      <c r="S15" s="4">
        <v>128.66499999999999</v>
      </c>
      <c r="T15" s="4">
        <v>148.99799999999999</v>
      </c>
      <c r="U15" s="4">
        <v>169.33099999999999</v>
      </c>
      <c r="V15" s="4">
        <v>189.66399999999999</v>
      </c>
      <c r="W15" s="4">
        <v>209.99699999999999</v>
      </c>
    </row>
    <row r="16" spans="1:25" x14ac:dyDescent="0.3">
      <c r="A16" s="4">
        <v>12</v>
      </c>
      <c r="B16">
        <v>0.03</v>
      </c>
      <c r="C16">
        <v>0.11</v>
      </c>
      <c r="D16">
        <v>0.11</v>
      </c>
      <c r="E16">
        <v>0.09</v>
      </c>
      <c r="F16">
        <v>0.08</v>
      </c>
      <c r="G16">
        <v>0.08</v>
      </c>
      <c r="H16">
        <v>0.08</v>
      </c>
      <c r="I16">
        <v>0.1</v>
      </c>
      <c r="J16">
        <v>0.15</v>
      </c>
      <c r="K16">
        <v>0.15</v>
      </c>
      <c r="L16" s="1"/>
      <c r="M16" s="4">
        <v>12</v>
      </c>
      <c r="N16">
        <v>0.03</v>
      </c>
      <c r="O16">
        <v>0.11</v>
      </c>
      <c r="P16">
        <v>0.11</v>
      </c>
      <c r="Q16">
        <v>0.09</v>
      </c>
      <c r="R16">
        <v>0.08</v>
      </c>
      <c r="S16">
        <v>0.08</v>
      </c>
      <c r="T16">
        <v>0.08</v>
      </c>
      <c r="U16">
        <v>0.1</v>
      </c>
      <c r="V16">
        <v>0.15</v>
      </c>
      <c r="W16">
        <v>0.15</v>
      </c>
      <c r="X16" s="1"/>
      <c r="Y16" s="1"/>
    </row>
    <row r="17" spans="1:23" x14ac:dyDescent="0.3">
      <c r="A17" s="4">
        <v>33.444000000000003</v>
      </c>
      <c r="B17">
        <v>0.04</v>
      </c>
      <c r="C17">
        <v>0.11</v>
      </c>
      <c r="D17">
        <v>0.11</v>
      </c>
      <c r="E17">
        <v>0.11</v>
      </c>
      <c r="F17">
        <v>0.12</v>
      </c>
      <c r="G17">
        <v>0.12</v>
      </c>
      <c r="H17">
        <v>0.11</v>
      </c>
      <c r="I17">
        <v>0.11</v>
      </c>
      <c r="J17">
        <v>0.14000000000000001</v>
      </c>
      <c r="K17">
        <v>0.15</v>
      </c>
      <c r="L17" s="1"/>
      <c r="M17" s="4">
        <v>33.444000000000003</v>
      </c>
      <c r="N17">
        <v>0.04</v>
      </c>
      <c r="O17">
        <v>0.11</v>
      </c>
      <c r="P17">
        <v>0.11</v>
      </c>
      <c r="Q17">
        <v>0.11</v>
      </c>
      <c r="R17">
        <v>0.12</v>
      </c>
      <c r="S17">
        <v>0.12</v>
      </c>
      <c r="T17">
        <v>0.11</v>
      </c>
      <c r="U17">
        <v>0.11</v>
      </c>
      <c r="V17">
        <v>0.14000000000000001</v>
      </c>
      <c r="W17">
        <v>0.15</v>
      </c>
    </row>
    <row r="18" spans="1:23" x14ac:dyDescent="0.3">
      <c r="A18" s="4">
        <v>54.888000000000005</v>
      </c>
      <c r="B18">
        <v>0</v>
      </c>
      <c r="C18">
        <v>0.08</v>
      </c>
      <c r="D18">
        <v>0.11</v>
      </c>
      <c r="E18">
        <v>0.11</v>
      </c>
      <c r="F18">
        <v>0.12</v>
      </c>
      <c r="G18">
        <v>0.11</v>
      </c>
      <c r="H18">
        <v>0.11</v>
      </c>
      <c r="I18">
        <v>0.11</v>
      </c>
      <c r="J18">
        <v>0.15</v>
      </c>
      <c r="K18">
        <v>0.15</v>
      </c>
      <c r="L18" s="1"/>
      <c r="M18" s="4">
        <v>54.888000000000005</v>
      </c>
      <c r="N18">
        <v>0.01</v>
      </c>
      <c r="O18">
        <v>0.08</v>
      </c>
      <c r="P18">
        <v>0.11</v>
      </c>
      <c r="Q18">
        <v>0.11</v>
      </c>
      <c r="R18">
        <v>0.12</v>
      </c>
      <c r="S18">
        <v>0.11</v>
      </c>
      <c r="T18">
        <v>0.11</v>
      </c>
      <c r="U18">
        <v>0.11</v>
      </c>
      <c r="V18">
        <v>0.15</v>
      </c>
      <c r="W18">
        <v>0.15</v>
      </c>
    </row>
    <row r="19" spans="1:23" x14ac:dyDescent="0.3">
      <c r="A19" s="4">
        <v>76.332000000000008</v>
      </c>
      <c r="B19">
        <v>0</v>
      </c>
      <c r="C19">
        <v>0.08</v>
      </c>
      <c r="D19">
        <v>0.08</v>
      </c>
      <c r="E19">
        <v>0.08</v>
      </c>
      <c r="F19">
        <v>0.1</v>
      </c>
      <c r="G19">
        <v>0.09</v>
      </c>
      <c r="H19">
        <v>0.08</v>
      </c>
      <c r="I19">
        <v>0.09</v>
      </c>
      <c r="J19">
        <v>0.14000000000000001</v>
      </c>
      <c r="K19">
        <v>0.13</v>
      </c>
      <c r="L19" s="1"/>
      <c r="M19" s="4">
        <v>76.332000000000008</v>
      </c>
      <c r="N19">
        <v>0.02</v>
      </c>
      <c r="O19">
        <v>0.08</v>
      </c>
      <c r="P19">
        <v>0.08</v>
      </c>
      <c r="Q19">
        <v>0.08</v>
      </c>
      <c r="R19">
        <v>0.1</v>
      </c>
      <c r="S19">
        <v>0.09</v>
      </c>
      <c r="T19">
        <v>0.08</v>
      </c>
      <c r="U19">
        <v>0.09</v>
      </c>
      <c r="V19">
        <v>0.14000000000000001</v>
      </c>
      <c r="W19">
        <v>0.13</v>
      </c>
    </row>
    <row r="20" spans="1:23" x14ac:dyDescent="0.3">
      <c r="A20" s="4">
        <v>97.77600000000001</v>
      </c>
      <c r="B20">
        <v>0.01</v>
      </c>
      <c r="C20">
        <v>0.08</v>
      </c>
      <c r="D20">
        <v>0.08</v>
      </c>
      <c r="E20">
        <v>0.08</v>
      </c>
      <c r="F20">
        <v>0.1</v>
      </c>
      <c r="G20">
        <v>0.09</v>
      </c>
      <c r="H20">
        <v>0.08</v>
      </c>
      <c r="I20">
        <v>0.09</v>
      </c>
      <c r="J20">
        <v>0.13</v>
      </c>
      <c r="K20">
        <v>0.13</v>
      </c>
      <c r="L20" s="1"/>
      <c r="M20" s="4">
        <v>97.77600000000001</v>
      </c>
      <c r="N20">
        <v>0.01</v>
      </c>
      <c r="O20">
        <v>0.08</v>
      </c>
      <c r="P20">
        <v>0.08</v>
      </c>
      <c r="Q20">
        <v>0.08</v>
      </c>
      <c r="R20">
        <v>0.1</v>
      </c>
      <c r="S20">
        <v>0.09</v>
      </c>
      <c r="T20">
        <v>0.08</v>
      </c>
      <c r="U20">
        <v>0.09</v>
      </c>
      <c r="V20">
        <v>0.13</v>
      </c>
      <c r="W20">
        <v>0.13</v>
      </c>
    </row>
    <row r="21" spans="1:23" x14ac:dyDescent="0.3">
      <c r="A21" s="4">
        <v>119.22000000000001</v>
      </c>
      <c r="B21">
        <v>0.01</v>
      </c>
      <c r="C21">
        <v>0.05</v>
      </c>
      <c r="D21">
        <v>0.08</v>
      </c>
      <c r="E21">
        <v>0.08</v>
      </c>
      <c r="F21">
        <v>0.1</v>
      </c>
      <c r="G21">
        <v>0.09</v>
      </c>
      <c r="H21">
        <v>0.08</v>
      </c>
      <c r="I21">
        <v>0.1</v>
      </c>
      <c r="J21">
        <v>0.14000000000000001</v>
      </c>
      <c r="K21">
        <v>0.15</v>
      </c>
      <c r="L21" s="1"/>
      <c r="M21" s="4">
        <v>119.22000000000001</v>
      </c>
      <c r="N21">
        <v>0.01</v>
      </c>
      <c r="O21">
        <v>0.05</v>
      </c>
      <c r="P21">
        <v>0.08</v>
      </c>
      <c r="Q21">
        <v>0.08</v>
      </c>
      <c r="R21">
        <v>0.1</v>
      </c>
      <c r="S21">
        <v>0.09</v>
      </c>
      <c r="T21">
        <v>0.08</v>
      </c>
      <c r="U21">
        <v>0.1</v>
      </c>
      <c r="V21">
        <v>0.14000000000000001</v>
      </c>
      <c r="W21">
        <v>0.15</v>
      </c>
    </row>
    <row r="22" spans="1:23" x14ac:dyDescent="0.3">
      <c r="A22" s="4">
        <v>140.66400000000002</v>
      </c>
      <c r="B22">
        <v>0.02</v>
      </c>
      <c r="C22">
        <v>0.05</v>
      </c>
      <c r="D22">
        <v>0.08</v>
      </c>
      <c r="E22">
        <v>0.08</v>
      </c>
      <c r="F22">
        <v>0.1</v>
      </c>
      <c r="G22">
        <v>0.09</v>
      </c>
      <c r="H22">
        <v>0.08</v>
      </c>
      <c r="I22">
        <v>0.16</v>
      </c>
      <c r="J22">
        <v>0.16</v>
      </c>
      <c r="K22">
        <v>0.15</v>
      </c>
      <c r="L22" s="1"/>
      <c r="M22" s="4">
        <v>140.66400000000002</v>
      </c>
      <c r="N22">
        <v>0.02</v>
      </c>
      <c r="O22">
        <v>0.05</v>
      </c>
      <c r="P22">
        <v>0.08</v>
      </c>
      <c r="Q22">
        <v>0.08</v>
      </c>
      <c r="R22">
        <v>0.1</v>
      </c>
      <c r="S22">
        <v>0.09</v>
      </c>
      <c r="T22">
        <v>0.08</v>
      </c>
      <c r="U22">
        <v>0.16</v>
      </c>
      <c r="V22">
        <v>0.16</v>
      </c>
      <c r="W22">
        <v>0.15</v>
      </c>
    </row>
    <row r="23" spans="1:23" x14ac:dyDescent="0.3">
      <c r="A23" s="4">
        <v>162.108</v>
      </c>
      <c r="B23">
        <v>0.05</v>
      </c>
      <c r="C23">
        <v>0.06</v>
      </c>
      <c r="D23">
        <v>0.08</v>
      </c>
      <c r="E23">
        <v>0.08</v>
      </c>
      <c r="F23">
        <v>0.1</v>
      </c>
      <c r="G23">
        <v>0.09</v>
      </c>
      <c r="H23">
        <v>0.08</v>
      </c>
      <c r="I23">
        <v>0.16</v>
      </c>
      <c r="J23">
        <v>0.18</v>
      </c>
      <c r="K23">
        <v>0.18</v>
      </c>
      <c r="L23" s="1"/>
      <c r="M23" s="4">
        <v>162.108</v>
      </c>
      <c r="N23">
        <v>0.05</v>
      </c>
      <c r="O23">
        <v>0.05</v>
      </c>
      <c r="P23">
        <v>0.08</v>
      </c>
      <c r="Q23">
        <v>0.08</v>
      </c>
      <c r="R23">
        <v>0.1</v>
      </c>
      <c r="S23">
        <v>0.09</v>
      </c>
      <c r="T23">
        <v>0.08</v>
      </c>
      <c r="U23">
        <v>0.16</v>
      </c>
      <c r="V23">
        <v>0.18</v>
      </c>
      <c r="W23">
        <v>0.18</v>
      </c>
    </row>
    <row r="24" spans="1:23" x14ac:dyDescent="0.3">
      <c r="A24" s="4">
        <v>183.55199999999999</v>
      </c>
      <c r="B24">
        <v>0.08</v>
      </c>
      <c r="C24">
        <v>0.09</v>
      </c>
      <c r="D24">
        <v>0.09</v>
      </c>
      <c r="E24">
        <v>0.09</v>
      </c>
      <c r="F24">
        <v>0.1</v>
      </c>
      <c r="G24">
        <v>0.09</v>
      </c>
      <c r="H24">
        <v>0.09</v>
      </c>
      <c r="I24">
        <v>0.16</v>
      </c>
      <c r="J24">
        <v>0.19</v>
      </c>
      <c r="K24">
        <v>0.19</v>
      </c>
      <c r="L24" s="1"/>
      <c r="M24" s="4">
        <v>183.55199999999999</v>
      </c>
      <c r="N24">
        <v>0.08</v>
      </c>
      <c r="O24">
        <v>0.08</v>
      </c>
      <c r="P24">
        <v>0.08</v>
      </c>
      <c r="Q24">
        <v>0.08</v>
      </c>
      <c r="R24">
        <v>0.1</v>
      </c>
      <c r="S24">
        <v>0.09</v>
      </c>
      <c r="T24">
        <v>0.09</v>
      </c>
      <c r="U24">
        <v>0.16</v>
      </c>
      <c r="V24">
        <v>0.19</v>
      </c>
      <c r="W24">
        <v>0.19</v>
      </c>
    </row>
    <row r="25" spans="1:23" x14ac:dyDescent="0.3">
      <c r="A25" s="4">
        <v>204.99599999999998</v>
      </c>
      <c r="B25">
        <v>0.08</v>
      </c>
      <c r="C25">
        <v>0.1</v>
      </c>
      <c r="D25">
        <v>0.09</v>
      </c>
      <c r="E25">
        <v>0.1</v>
      </c>
      <c r="F25">
        <v>0.11</v>
      </c>
      <c r="G25">
        <v>0.12</v>
      </c>
      <c r="H25">
        <v>0.17</v>
      </c>
      <c r="I25">
        <v>0.18</v>
      </c>
      <c r="J25">
        <v>0.19</v>
      </c>
      <c r="K25">
        <v>0.19</v>
      </c>
      <c r="L25" s="1"/>
      <c r="M25" s="4">
        <v>204.99599999999998</v>
      </c>
      <c r="N25">
        <v>0.08</v>
      </c>
      <c r="O25">
        <v>0.09</v>
      </c>
      <c r="P25">
        <v>0.09</v>
      </c>
      <c r="Q25">
        <v>0.1</v>
      </c>
      <c r="R25">
        <v>0.11</v>
      </c>
      <c r="S25">
        <v>0.12</v>
      </c>
      <c r="T25">
        <v>0.17</v>
      </c>
      <c r="U25">
        <v>0.18</v>
      </c>
      <c r="V25">
        <v>0.19</v>
      </c>
      <c r="W25">
        <v>0.19</v>
      </c>
    </row>
    <row r="31" spans="1:23" x14ac:dyDescent="0.3">
      <c r="M31" s="20"/>
      <c r="N31" s="5"/>
      <c r="O31" s="5"/>
      <c r="P31" s="5"/>
      <c r="Q31" s="5"/>
      <c r="R31" s="5"/>
      <c r="S31" s="5"/>
      <c r="T31" s="5"/>
      <c r="U31" s="5"/>
      <c r="V31" s="5"/>
      <c r="W31" s="5"/>
    </row>
    <row r="32" spans="1:23" x14ac:dyDescent="0.3">
      <c r="M32" s="5"/>
    </row>
    <row r="33" spans="13:13" x14ac:dyDescent="0.3">
      <c r="M33" s="5"/>
    </row>
    <row r="34" spans="13:13" x14ac:dyDescent="0.3">
      <c r="M34" s="5"/>
    </row>
    <row r="35" spans="13:13" x14ac:dyDescent="0.3">
      <c r="M35" s="5"/>
    </row>
    <row r="36" spans="13:13" x14ac:dyDescent="0.3">
      <c r="M36" s="5"/>
    </row>
    <row r="37" spans="13:13" x14ac:dyDescent="0.3">
      <c r="M37" s="5"/>
    </row>
    <row r="38" spans="13:13" x14ac:dyDescent="0.3">
      <c r="M38" s="5"/>
    </row>
    <row r="39" spans="13:13" x14ac:dyDescent="0.3">
      <c r="M39" s="5"/>
    </row>
    <row r="40" spans="13:13" x14ac:dyDescent="0.3">
      <c r="M40" s="5"/>
    </row>
    <row r="41" spans="13:13" x14ac:dyDescent="0.3">
      <c r="M41" s="5"/>
    </row>
  </sheetData>
  <conditionalFormatting sqref="L16:L24">
    <cfRule type="colorScale" priority="15">
      <colorScale>
        <cfvo type="num" val="-0.15"/>
        <cfvo type="num" val="0"/>
        <cfvo type="num" val="0.15"/>
        <color rgb="FF00B0F0"/>
        <color theme="0"/>
        <color rgb="FFFF0000"/>
      </colorScale>
    </cfRule>
  </conditionalFormatting>
  <conditionalFormatting sqref="X14:Y15 X17:Y23">
    <cfRule type="colorScale" priority="13">
      <colorScale>
        <cfvo type="num" val="-0.15"/>
        <cfvo type="num" val="0"/>
        <cfvo type="num" val="0.15"/>
        <color rgb="FF00B0F0"/>
        <color theme="0"/>
        <color rgb="FFFF0000"/>
      </colorScale>
    </cfRule>
  </conditionalFormatting>
  <conditionalFormatting sqref="L25">
    <cfRule type="colorScale" priority="11">
      <colorScale>
        <cfvo type="num" val="-0.15"/>
        <cfvo type="num" val="0"/>
        <cfvo type="num" val="0.15"/>
        <color rgb="FF00B0F0"/>
        <color theme="0"/>
        <color rgb="FFFF0000"/>
      </colorScale>
    </cfRule>
  </conditionalFormatting>
  <conditionalFormatting sqref="B16:K25">
    <cfRule type="colorScale" priority="4">
      <colorScale>
        <cfvo type="num" val="-0.15"/>
        <cfvo type="num" val="0"/>
        <cfvo type="num" val="0.15"/>
        <color rgb="FF00B0F0"/>
        <color theme="0"/>
        <color rgb="FFFF0000"/>
      </colorScale>
    </cfRule>
  </conditionalFormatting>
  <conditionalFormatting sqref="N16:W25">
    <cfRule type="colorScale" priority="2">
      <colorScale>
        <cfvo type="num" val="-0.15"/>
        <cfvo type="num" val="0"/>
        <cfvo type="num" val="0.15"/>
        <color rgb="FF00B0F0"/>
        <color theme="0"/>
        <color rgb="FFFF0000"/>
      </colorScale>
    </cfRule>
  </conditionalFormatting>
  <conditionalFormatting sqref="N32:W41">
    <cfRule type="colorScale" priority="1">
      <colorScale>
        <cfvo type="num" val="-0.15"/>
        <cfvo type="num" val="0"/>
        <cfvo type="num" val="0.15"/>
        <color rgb="FF00B0F0"/>
        <color theme="0"/>
        <color rgb="FFFF0000"/>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75F25-0E55-4127-BF23-D0DB957856CB}">
  <sheetPr codeName="Sheet3"/>
  <dimension ref="A20:AS85"/>
  <sheetViews>
    <sheetView workbookViewId="0">
      <selection activeCell="A8" sqref="A8"/>
    </sheetView>
  </sheetViews>
  <sheetFormatPr defaultRowHeight="14.4" x14ac:dyDescent="0.3"/>
  <cols>
    <col min="1" max="1" width="15.6640625" customWidth="1"/>
    <col min="19" max="19" width="10.88671875" customWidth="1"/>
    <col min="20" max="20" width="10.5546875" customWidth="1"/>
  </cols>
  <sheetData>
    <row r="20" spans="1:45" x14ac:dyDescent="0.3">
      <c r="A20" s="4" t="s">
        <v>154</v>
      </c>
    </row>
    <row r="21" spans="1:45" x14ac:dyDescent="0.3">
      <c r="B21" s="4"/>
      <c r="E21" s="4" t="s">
        <v>138</v>
      </c>
      <c r="F21" s="4">
        <f>AVERAGE(B23:K32)</f>
        <v>1.790234627208065E-17</v>
      </c>
      <c r="G21" s="4"/>
      <c r="H21" s="4" t="s">
        <v>129</v>
      </c>
      <c r="I21" s="17">
        <v>1.49</v>
      </c>
      <c r="J21" s="4" t="s">
        <v>128</v>
      </c>
      <c r="K21" s="4"/>
    </row>
    <row r="22" spans="1:45" x14ac:dyDescent="0.3">
      <c r="A22" s="20" t="s">
        <v>147</v>
      </c>
      <c r="B22" s="5">
        <v>27</v>
      </c>
      <c r="C22" s="5">
        <v>47.332999999999998</v>
      </c>
      <c r="D22" s="5">
        <v>67.665999999999997</v>
      </c>
      <c r="E22" s="5">
        <v>87.998999999999995</v>
      </c>
      <c r="F22" s="5">
        <v>108.33199999999999</v>
      </c>
      <c r="G22" s="5">
        <v>128.66499999999999</v>
      </c>
      <c r="H22" s="5">
        <v>148.99799999999999</v>
      </c>
      <c r="I22" s="5">
        <v>169.33099999999999</v>
      </c>
      <c r="J22" s="5">
        <v>189.66399999999999</v>
      </c>
      <c r="K22" s="5">
        <v>209.99699999999999</v>
      </c>
      <c r="N22" s="4"/>
    </row>
    <row r="23" spans="1:45" x14ac:dyDescent="0.3">
      <c r="A23" s="5">
        <v>12</v>
      </c>
      <c r="B23" s="1">
        <v>2.0500040000000025E-2</v>
      </c>
      <c r="C23" s="1">
        <v>2.3000040000000013E-2</v>
      </c>
      <c r="D23" s="1">
        <v>-2.7416959999999983E-2</v>
      </c>
      <c r="E23" s="1">
        <v>3.0000400000000163E-3</v>
      </c>
      <c r="F23" s="1">
        <v>-3.4082959999999982E-2</v>
      </c>
      <c r="G23" s="1">
        <v>-2.8666959999999981E-2</v>
      </c>
      <c r="H23" s="1">
        <v>-5.7499599999999845E-3</v>
      </c>
      <c r="I23" s="1">
        <v>3.5917040000000025E-2</v>
      </c>
      <c r="J23" s="1">
        <v>2.5830400000000156E-3</v>
      </c>
      <c r="K23" s="1">
        <v>3.5917040000000025E-2</v>
      </c>
      <c r="N23" s="4"/>
    </row>
    <row r="24" spans="1:45" x14ac:dyDescent="0.3">
      <c r="A24" s="5">
        <v>33.444000000000003</v>
      </c>
      <c r="B24" s="1">
        <v>-1.0332959999999981E-2</v>
      </c>
      <c r="C24" s="1">
        <v>-8.2499599999999798E-3</v>
      </c>
      <c r="D24" s="1">
        <v>-6.6999959999999983E-2</v>
      </c>
      <c r="E24" s="1">
        <v>-5.2832959999999984E-2</v>
      </c>
      <c r="F24" s="1">
        <v>-6.6166959999999983E-2</v>
      </c>
      <c r="G24" s="1">
        <v>-3.5332959999999983E-2</v>
      </c>
      <c r="H24" s="1">
        <v>-1.616695999999998E-2</v>
      </c>
      <c r="I24" s="1">
        <v>3.0000400000000163E-3</v>
      </c>
      <c r="J24" s="1">
        <v>-1.7416959999999981E-2</v>
      </c>
      <c r="K24" s="1">
        <v>-1.3666959999999985E-2</v>
      </c>
    </row>
    <row r="25" spans="1:45" x14ac:dyDescent="0.3">
      <c r="A25" s="5">
        <v>54.888000000000005</v>
      </c>
      <c r="B25" s="1">
        <v>1.8417040000000023E-2</v>
      </c>
      <c r="C25" s="1">
        <v>1.508304000000002E-2</v>
      </c>
      <c r="D25" s="1">
        <v>-4.741695999999998E-2</v>
      </c>
      <c r="E25" s="1">
        <v>-4.3666959999999984E-2</v>
      </c>
      <c r="F25" s="1">
        <v>-6.1999959999999979E-2</v>
      </c>
      <c r="G25" s="1">
        <v>-2.9499959999999981E-2</v>
      </c>
      <c r="H25" s="1">
        <v>-8.6669599999999805E-3</v>
      </c>
      <c r="I25" s="1">
        <v>1.7500400000000152E-3</v>
      </c>
      <c r="J25" s="1">
        <v>3.0000400000000163E-3</v>
      </c>
      <c r="K25" s="1">
        <v>3.417040000000017E-3</v>
      </c>
      <c r="M25" s="4"/>
      <c r="N25" s="4"/>
    </row>
    <row r="26" spans="1:45" x14ac:dyDescent="0.3">
      <c r="A26" s="5">
        <v>76.332000000000008</v>
      </c>
      <c r="B26" s="1">
        <v>3.0917040000000021E-2</v>
      </c>
      <c r="C26" s="1">
        <v>1.9250040000000024E-2</v>
      </c>
      <c r="D26" s="1">
        <v>-2.4916959999999981E-2</v>
      </c>
      <c r="E26" s="1">
        <v>-1.9499959999999983E-2</v>
      </c>
      <c r="F26" s="1">
        <v>-4.9499959999999982E-2</v>
      </c>
      <c r="G26" s="1">
        <v>-1.6999959999999981E-2</v>
      </c>
      <c r="H26" s="1">
        <v>9.1704000000001479E-4</v>
      </c>
      <c r="I26" s="1">
        <v>2.2167040000000013E-2</v>
      </c>
      <c r="J26" s="1">
        <v>5.0830400000000178E-3</v>
      </c>
      <c r="K26" s="1">
        <v>3.0083040000000019E-2</v>
      </c>
      <c r="M26" s="4"/>
      <c r="N26" s="4"/>
    </row>
    <row r="27" spans="1:45" x14ac:dyDescent="0.3">
      <c r="A27" s="5">
        <v>97.77600000000001</v>
      </c>
      <c r="B27" s="1">
        <v>3.8000040000000013E-2</v>
      </c>
      <c r="C27" s="1">
        <v>3.050004000000002E-2</v>
      </c>
      <c r="D27" s="1">
        <v>-8.6669599999999805E-3</v>
      </c>
      <c r="E27" s="1">
        <v>-1.1166959999999983E-2</v>
      </c>
      <c r="F27" s="1">
        <v>-4.6166959999999979E-2</v>
      </c>
      <c r="G27" s="1">
        <v>-1.6999959999999981E-2</v>
      </c>
      <c r="H27" s="1">
        <v>-3.3295999999997938E-4</v>
      </c>
      <c r="I27" s="1">
        <v>1.8417040000000023E-2</v>
      </c>
      <c r="J27" s="1">
        <v>-1.9999599999999812E-3</v>
      </c>
      <c r="K27" s="1">
        <v>2.0917040000000012E-2</v>
      </c>
      <c r="M27" s="5"/>
      <c r="N27" s="5"/>
      <c r="AS27">
        <v>12</v>
      </c>
    </row>
    <row r="28" spans="1:45" x14ac:dyDescent="0.3">
      <c r="A28" s="5">
        <v>119.22000000000001</v>
      </c>
      <c r="B28" s="1">
        <v>4.3000040000000017E-2</v>
      </c>
      <c r="C28" s="1">
        <v>3.3000040000000022E-2</v>
      </c>
      <c r="D28" s="1">
        <v>-9.4999599999999809E-3</v>
      </c>
      <c r="E28" s="1">
        <v>-1.2416959999999984E-2</v>
      </c>
      <c r="F28" s="1">
        <v>-5.3249959999999985E-2</v>
      </c>
      <c r="G28" s="1">
        <v>-2.5332959999999981E-2</v>
      </c>
      <c r="H28" s="1">
        <v>-3.666959999999983E-3</v>
      </c>
      <c r="I28" s="1">
        <v>2.5500040000000015E-2</v>
      </c>
      <c r="J28" s="1">
        <v>3.8330400000000167E-3</v>
      </c>
      <c r="K28" s="1">
        <v>2.8000040000000018E-2</v>
      </c>
      <c r="M28" s="5"/>
      <c r="N28" s="5"/>
      <c r="O28" s="1"/>
      <c r="P28" s="1"/>
      <c r="Q28" s="1"/>
      <c r="R28" s="1"/>
      <c r="S28" s="1"/>
      <c r="T28" s="1"/>
      <c r="U28" s="1"/>
      <c r="V28" s="1"/>
      <c r="W28" s="1"/>
      <c r="X28" s="1"/>
    </row>
    <row r="29" spans="1:45" x14ac:dyDescent="0.3">
      <c r="A29" s="5">
        <v>140.66400000000002</v>
      </c>
      <c r="B29" s="1">
        <v>4.3000040000000017E-2</v>
      </c>
      <c r="C29" s="1">
        <v>3.6750040000000012E-2</v>
      </c>
      <c r="D29" s="1">
        <v>-9.4999599999999809E-3</v>
      </c>
      <c r="E29" s="1">
        <v>-8.2499599999999798E-3</v>
      </c>
      <c r="F29" s="1">
        <v>-3.8666959999999979E-2</v>
      </c>
      <c r="G29" s="1">
        <v>-1.8249959999999982E-2</v>
      </c>
      <c r="H29" s="1">
        <v>1.3330400000000214E-3</v>
      </c>
      <c r="I29" s="1">
        <v>1.1333040000000016E-2</v>
      </c>
      <c r="J29" s="1">
        <v>-4.0829599999999827E-3</v>
      </c>
      <c r="K29" s="1">
        <v>1.8833040000000023E-2</v>
      </c>
      <c r="M29" s="5"/>
      <c r="N29" s="5"/>
      <c r="O29" s="1"/>
      <c r="P29" s="1"/>
      <c r="Q29" s="1"/>
      <c r="R29" s="1"/>
      <c r="S29" s="1"/>
      <c r="T29" s="1"/>
      <c r="U29" s="1"/>
      <c r="V29" s="1"/>
      <c r="W29" s="1"/>
      <c r="X29" s="1"/>
    </row>
    <row r="30" spans="1:45" x14ac:dyDescent="0.3">
      <c r="A30" s="5">
        <v>162.108</v>
      </c>
      <c r="B30" s="1">
        <v>3.5500040000000024E-2</v>
      </c>
      <c r="C30" s="1">
        <v>2.3833040000000014E-2</v>
      </c>
      <c r="D30" s="1">
        <v>-1.574995999999998E-2</v>
      </c>
      <c r="E30" s="1">
        <v>-6.1669599999999783E-3</v>
      </c>
      <c r="F30" s="1">
        <v>-2.9916959999999982E-2</v>
      </c>
      <c r="G30" s="1">
        <v>-6.9999599999999787E-3</v>
      </c>
      <c r="H30" s="1">
        <v>1.3330400000000214E-3</v>
      </c>
      <c r="I30" s="1">
        <v>2.3000040000000013E-2</v>
      </c>
      <c r="J30" s="1">
        <v>9.6670400000000156E-3</v>
      </c>
      <c r="K30" s="1">
        <v>3.0917040000000021E-2</v>
      </c>
      <c r="M30" s="5"/>
      <c r="N30" s="5"/>
      <c r="O30" s="1"/>
      <c r="P30" s="1"/>
      <c r="Q30" s="1"/>
      <c r="R30" s="1"/>
      <c r="S30" s="1"/>
      <c r="T30" s="1"/>
      <c r="U30" s="1"/>
      <c r="V30" s="1"/>
      <c r="W30" s="1"/>
      <c r="X30" s="1"/>
    </row>
    <row r="31" spans="1:45" x14ac:dyDescent="0.3">
      <c r="A31" s="5">
        <v>183.55199999999999</v>
      </c>
      <c r="B31" s="1">
        <v>1.5917040000000021E-2</v>
      </c>
      <c r="C31" s="1">
        <v>1.2583040000000018E-2</v>
      </c>
      <c r="D31" s="1">
        <v>-2.3666959999999983E-2</v>
      </c>
      <c r="E31" s="1">
        <v>-6.1669599999999783E-3</v>
      </c>
      <c r="F31" s="1">
        <v>-2.4916959999999981E-2</v>
      </c>
      <c r="G31" s="1">
        <v>-7.4995999999998009E-4</v>
      </c>
      <c r="H31" s="1">
        <v>1.3000040000000018E-2</v>
      </c>
      <c r="I31" s="1">
        <v>2.0500040000000025E-2</v>
      </c>
      <c r="J31" s="1">
        <v>3.8330400000000167E-3</v>
      </c>
      <c r="K31" s="1">
        <v>3.7167040000000012E-2</v>
      </c>
      <c r="M31" s="5"/>
      <c r="N31" s="5"/>
      <c r="O31" s="1"/>
      <c r="P31" s="1"/>
      <c r="Q31" s="1"/>
      <c r="R31" s="1"/>
      <c r="S31" s="1"/>
      <c r="T31" s="1"/>
      <c r="U31" s="1"/>
      <c r="V31" s="1"/>
      <c r="W31" s="1"/>
      <c r="X31" s="1"/>
    </row>
    <row r="32" spans="1:45" x14ac:dyDescent="0.3">
      <c r="A32" s="5">
        <v>204.99599999999998</v>
      </c>
      <c r="B32" s="1">
        <v>2.5917040000000016E-2</v>
      </c>
      <c r="C32" s="1">
        <v>2.4667040000000015E-2</v>
      </c>
      <c r="D32" s="1">
        <v>6.3330400000000189E-3</v>
      </c>
      <c r="E32" s="1">
        <v>2.6750040000000017E-2</v>
      </c>
      <c r="F32" s="1">
        <v>-1.7832959999999981E-2</v>
      </c>
      <c r="G32" s="1">
        <v>1.6333040000000021E-2</v>
      </c>
      <c r="H32" s="1">
        <v>2.5083040000000015E-2</v>
      </c>
      <c r="I32" s="1">
        <v>3.4667040000000024E-2</v>
      </c>
      <c r="J32" s="1">
        <v>1.7167040000000022E-2</v>
      </c>
      <c r="K32" s="1">
        <v>5.5083040000000014E-2</v>
      </c>
      <c r="M32" s="5"/>
      <c r="N32" s="5"/>
      <c r="O32" s="1"/>
      <c r="P32" s="1"/>
      <c r="Q32" s="1"/>
      <c r="R32" s="1"/>
      <c r="S32" s="1"/>
      <c r="T32" s="1"/>
      <c r="U32" s="1"/>
      <c r="V32" s="1"/>
      <c r="W32" s="1"/>
      <c r="X32" s="1"/>
    </row>
    <row r="33" spans="1:24" x14ac:dyDescent="0.3">
      <c r="A33" s="4"/>
      <c r="B33" s="18"/>
      <c r="C33" s="18"/>
      <c r="D33" s="18"/>
      <c r="E33" s="18"/>
      <c r="F33" s="18"/>
      <c r="G33" s="18"/>
      <c r="H33" s="18"/>
      <c r="I33" s="18"/>
      <c r="J33" s="18"/>
      <c r="K33" s="18"/>
      <c r="M33" s="5"/>
      <c r="N33" s="5"/>
      <c r="O33" s="1"/>
      <c r="P33" s="1"/>
      <c r="Q33" s="1"/>
      <c r="R33" s="1"/>
      <c r="S33" s="1"/>
      <c r="T33" s="1"/>
      <c r="U33" s="1"/>
      <c r="V33" s="1"/>
      <c r="W33" s="1"/>
      <c r="X33" s="1"/>
    </row>
    <row r="34" spans="1:24" x14ac:dyDescent="0.3">
      <c r="M34" s="5"/>
      <c r="N34" s="5"/>
      <c r="O34" s="1"/>
      <c r="P34" s="1"/>
      <c r="Q34" s="1"/>
      <c r="R34" s="1"/>
      <c r="S34" s="1"/>
      <c r="T34" s="1"/>
      <c r="U34" s="1"/>
      <c r="V34" s="1"/>
      <c r="W34" s="1"/>
      <c r="X34" s="1"/>
    </row>
    <row r="35" spans="1:24" x14ac:dyDescent="0.3">
      <c r="A35" s="4"/>
      <c r="O35" s="4"/>
      <c r="R35" s="4"/>
      <c r="V35" s="4"/>
    </row>
    <row r="36" spans="1:24" x14ac:dyDescent="0.3">
      <c r="A36" s="4" t="s">
        <v>152</v>
      </c>
    </row>
    <row r="37" spans="1:24" x14ac:dyDescent="0.3">
      <c r="A37" s="20" t="s">
        <v>147</v>
      </c>
      <c r="B37" s="4">
        <v>27</v>
      </c>
      <c r="C37" s="4">
        <v>47.332999999999998</v>
      </c>
      <c r="D37" s="4">
        <v>67.665999999999997</v>
      </c>
      <c r="E37" s="4">
        <v>87.998999999999995</v>
      </c>
      <c r="F37" s="4">
        <v>108.33199999999999</v>
      </c>
      <c r="G37" s="4">
        <v>128.66499999999999</v>
      </c>
      <c r="H37" s="4">
        <v>148.99799999999999</v>
      </c>
      <c r="I37" s="4">
        <v>169.33099999999999</v>
      </c>
      <c r="J37" s="4">
        <v>189.66399999999999</v>
      </c>
      <c r="K37" s="4">
        <v>209.99699999999999</v>
      </c>
    </row>
    <row r="38" spans="1:24" x14ac:dyDescent="0.3">
      <c r="A38" s="4">
        <v>12</v>
      </c>
      <c r="B38">
        <v>0.03</v>
      </c>
      <c r="C38">
        <v>0.11</v>
      </c>
      <c r="D38">
        <v>0.11</v>
      </c>
      <c r="E38">
        <v>0.09</v>
      </c>
      <c r="F38">
        <v>0.08</v>
      </c>
      <c r="G38">
        <v>0.08</v>
      </c>
      <c r="H38">
        <v>0.08</v>
      </c>
      <c r="I38">
        <v>0.1</v>
      </c>
      <c r="J38">
        <v>0.15</v>
      </c>
      <c r="K38">
        <v>0.15</v>
      </c>
    </row>
    <row r="39" spans="1:24" x14ac:dyDescent="0.3">
      <c r="A39" s="4">
        <v>33.444000000000003</v>
      </c>
      <c r="B39">
        <v>0.04</v>
      </c>
      <c r="C39">
        <v>0.11</v>
      </c>
      <c r="D39">
        <v>0.11</v>
      </c>
      <c r="E39">
        <v>0.11</v>
      </c>
      <c r="F39">
        <v>0.12</v>
      </c>
      <c r="G39">
        <v>0.12</v>
      </c>
      <c r="H39">
        <v>0.11</v>
      </c>
      <c r="I39">
        <v>0.11</v>
      </c>
      <c r="J39">
        <v>0.14000000000000001</v>
      </c>
      <c r="K39">
        <v>0.15</v>
      </c>
    </row>
    <row r="40" spans="1:24" x14ac:dyDescent="0.3">
      <c r="A40" s="4">
        <v>54.888000000000005</v>
      </c>
      <c r="B40">
        <v>0</v>
      </c>
      <c r="C40">
        <v>0.08</v>
      </c>
      <c r="D40">
        <v>0.11</v>
      </c>
      <c r="E40">
        <v>0.11</v>
      </c>
      <c r="F40">
        <v>0.12</v>
      </c>
      <c r="G40">
        <v>0.11</v>
      </c>
      <c r="H40">
        <v>0.11</v>
      </c>
      <c r="I40">
        <v>0.11</v>
      </c>
      <c r="J40">
        <v>0.15</v>
      </c>
      <c r="K40">
        <v>0.15</v>
      </c>
    </row>
    <row r="41" spans="1:24" x14ac:dyDescent="0.3">
      <c r="A41" s="4">
        <v>76.332000000000008</v>
      </c>
      <c r="B41">
        <v>0</v>
      </c>
      <c r="C41">
        <v>0.08</v>
      </c>
      <c r="D41">
        <v>0.08</v>
      </c>
      <c r="E41">
        <v>0.08</v>
      </c>
      <c r="F41">
        <v>0.1</v>
      </c>
      <c r="G41">
        <v>0.09</v>
      </c>
      <c r="H41">
        <v>0.08</v>
      </c>
      <c r="I41">
        <v>0.09</v>
      </c>
      <c r="J41">
        <v>0.14000000000000001</v>
      </c>
      <c r="K41">
        <v>0.13</v>
      </c>
    </row>
    <row r="42" spans="1:24" x14ac:dyDescent="0.3">
      <c r="A42" s="4">
        <v>97.77600000000001</v>
      </c>
      <c r="B42">
        <v>0.01</v>
      </c>
      <c r="C42">
        <v>0.08</v>
      </c>
      <c r="D42">
        <v>0.08</v>
      </c>
      <c r="E42">
        <v>0.08</v>
      </c>
      <c r="F42">
        <v>0.1</v>
      </c>
      <c r="G42">
        <v>0.09</v>
      </c>
      <c r="H42">
        <v>0.08</v>
      </c>
      <c r="I42">
        <v>0.09</v>
      </c>
      <c r="J42">
        <v>0.13</v>
      </c>
      <c r="K42">
        <v>0.13</v>
      </c>
    </row>
    <row r="43" spans="1:24" x14ac:dyDescent="0.3">
      <c r="A43" s="4">
        <v>119.22000000000001</v>
      </c>
      <c r="B43">
        <v>0.01</v>
      </c>
      <c r="C43">
        <v>0.05</v>
      </c>
      <c r="D43">
        <v>0.08</v>
      </c>
      <c r="E43">
        <v>0.08</v>
      </c>
      <c r="F43">
        <v>0.1</v>
      </c>
      <c r="G43">
        <v>0.09</v>
      </c>
      <c r="H43">
        <v>0.08</v>
      </c>
      <c r="I43">
        <v>0.1</v>
      </c>
      <c r="J43">
        <v>0.14000000000000001</v>
      </c>
      <c r="K43">
        <v>0.15</v>
      </c>
    </row>
    <row r="44" spans="1:24" x14ac:dyDescent="0.3">
      <c r="A44" s="4">
        <v>140.66400000000002</v>
      </c>
      <c r="B44">
        <v>0.02</v>
      </c>
      <c r="C44">
        <v>0.05</v>
      </c>
      <c r="D44">
        <v>0.08</v>
      </c>
      <c r="E44">
        <v>0.08</v>
      </c>
      <c r="F44">
        <v>0.1</v>
      </c>
      <c r="G44">
        <v>0.09</v>
      </c>
      <c r="H44">
        <v>0.08</v>
      </c>
      <c r="I44">
        <v>0.16</v>
      </c>
      <c r="J44">
        <v>0.16</v>
      </c>
      <c r="K44">
        <v>0.15</v>
      </c>
    </row>
    <row r="45" spans="1:24" x14ac:dyDescent="0.3">
      <c r="A45" s="4">
        <v>162.108</v>
      </c>
      <c r="B45">
        <v>0.05</v>
      </c>
      <c r="C45">
        <v>0.06</v>
      </c>
      <c r="D45">
        <v>0.08</v>
      </c>
      <c r="E45">
        <v>0.08</v>
      </c>
      <c r="F45">
        <v>0.1</v>
      </c>
      <c r="G45">
        <v>0.09</v>
      </c>
      <c r="H45">
        <v>0.08</v>
      </c>
      <c r="I45">
        <v>0.16</v>
      </c>
      <c r="J45">
        <v>0.18</v>
      </c>
      <c r="K45">
        <v>0.18</v>
      </c>
    </row>
    <row r="46" spans="1:24" x14ac:dyDescent="0.3">
      <c r="A46" s="4">
        <v>183.55199999999999</v>
      </c>
      <c r="B46">
        <v>0.08</v>
      </c>
      <c r="C46">
        <v>0.09</v>
      </c>
      <c r="D46">
        <v>0.09</v>
      </c>
      <c r="E46">
        <v>0.09</v>
      </c>
      <c r="F46">
        <v>0.1</v>
      </c>
      <c r="G46">
        <v>0.09</v>
      </c>
      <c r="H46">
        <v>0.09</v>
      </c>
      <c r="I46">
        <v>0.16</v>
      </c>
      <c r="J46">
        <v>0.19</v>
      </c>
      <c r="K46">
        <v>0.19</v>
      </c>
    </row>
    <row r="47" spans="1:24" x14ac:dyDescent="0.3">
      <c r="A47" s="4">
        <v>204.99599999999998</v>
      </c>
      <c r="B47">
        <v>0.08</v>
      </c>
      <c r="C47">
        <v>0.1</v>
      </c>
      <c r="D47">
        <v>0.09</v>
      </c>
      <c r="E47">
        <v>0.1</v>
      </c>
      <c r="F47">
        <v>0.11</v>
      </c>
      <c r="G47">
        <v>0.12</v>
      </c>
      <c r="H47">
        <v>0.17</v>
      </c>
      <c r="I47">
        <v>0.18</v>
      </c>
      <c r="J47">
        <v>0.19</v>
      </c>
      <c r="K47">
        <v>0.19</v>
      </c>
    </row>
    <row r="49" spans="1:12" x14ac:dyDescent="0.3">
      <c r="A49" s="4"/>
    </row>
    <row r="50" spans="1:12" x14ac:dyDescent="0.3">
      <c r="A50" s="4" t="s">
        <v>166</v>
      </c>
    </row>
    <row r="51" spans="1:12" x14ac:dyDescent="0.3">
      <c r="A51" t="s">
        <v>147</v>
      </c>
      <c r="B51" s="5">
        <v>27</v>
      </c>
      <c r="C51" s="5">
        <v>47.332999999999998</v>
      </c>
      <c r="D51" s="5">
        <v>67.665999999999997</v>
      </c>
      <c r="E51" s="5">
        <v>87.998999999999995</v>
      </c>
      <c r="F51" s="5">
        <v>108.33199999999999</v>
      </c>
      <c r="G51" s="5">
        <v>128.66499999999999</v>
      </c>
      <c r="H51" s="5">
        <v>148.99799999999999</v>
      </c>
      <c r="I51" s="5">
        <v>169.33099999999999</v>
      </c>
      <c r="J51" s="5">
        <v>189.66399999999999</v>
      </c>
      <c r="K51" s="5">
        <v>209.99699999999999</v>
      </c>
    </row>
    <row r="52" spans="1:12" x14ac:dyDescent="0.3">
      <c r="A52" s="5">
        <v>12</v>
      </c>
      <c r="B52" s="1">
        <f t="shared" ref="B52:K52" si="0">B38-B23</f>
        <v>9.499959999999974E-3</v>
      </c>
      <c r="C52" s="1">
        <f t="shared" si="0"/>
        <v>8.6999959999999987E-2</v>
      </c>
      <c r="D52" s="1">
        <f t="shared" si="0"/>
        <v>0.13741695999999998</v>
      </c>
      <c r="E52" s="1">
        <f t="shared" si="0"/>
        <v>8.6999959999999987E-2</v>
      </c>
      <c r="F52" s="1">
        <f t="shared" si="0"/>
        <v>0.11408295999999998</v>
      </c>
      <c r="G52" s="1">
        <f t="shared" si="0"/>
        <v>0.10866695999999998</v>
      </c>
      <c r="H52" s="1">
        <f t="shared" si="0"/>
        <v>8.5749959999999986E-2</v>
      </c>
      <c r="I52" s="1">
        <f t="shared" si="0"/>
        <v>6.408295999999998E-2</v>
      </c>
      <c r="J52" s="1">
        <f t="shared" si="0"/>
        <v>0.14741695999999999</v>
      </c>
      <c r="K52" s="1">
        <f t="shared" si="0"/>
        <v>0.11408295999999997</v>
      </c>
    </row>
    <row r="53" spans="1:12" x14ac:dyDescent="0.3">
      <c r="A53" s="5">
        <v>33.444000000000003</v>
      </c>
      <c r="B53" s="1">
        <f t="shared" ref="B53:K53" si="1">B39-B24</f>
        <v>5.0332959999999982E-2</v>
      </c>
      <c r="C53" s="1">
        <f t="shared" si="1"/>
        <v>0.11824995999999999</v>
      </c>
      <c r="D53" s="1">
        <f t="shared" si="1"/>
        <v>0.17699995999999998</v>
      </c>
      <c r="E53" s="1">
        <f t="shared" si="1"/>
        <v>0.16283295999999997</v>
      </c>
      <c r="F53" s="1">
        <f t="shared" si="1"/>
        <v>0.18616695999999999</v>
      </c>
      <c r="G53" s="1">
        <f t="shared" si="1"/>
        <v>0.15533295999999996</v>
      </c>
      <c r="H53" s="1">
        <f t="shared" si="1"/>
        <v>0.12616695999999999</v>
      </c>
      <c r="I53" s="1">
        <f t="shared" si="1"/>
        <v>0.10699995999999998</v>
      </c>
      <c r="J53" s="1">
        <f t="shared" si="1"/>
        <v>0.15741695999999999</v>
      </c>
      <c r="K53" s="1">
        <f t="shared" si="1"/>
        <v>0.16366695999999997</v>
      </c>
    </row>
    <row r="54" spans="1:12" x14ac:dyDescent="0.3">
      <c r="A54" s="5">
        <v>54.888000000000005</v>
      </c>
      <c r="B54" s="1">
        <f t="shared" ref="B54:K54" si="2">B40-B25</f>
        <v>-1.8417040000000023E-2</v>
      </c>
      <c r="C54" s="1">
        <f t="shared" si="2"/>
        <v>6.4916959999999982E-2</v>
      </c>
      <c r="D54" s="1">
        <f t="shared" si="2"/>
        <v>0.15741695999999999</v>
      </c>
      <c r="E54" s="1">
        <f t="shared" si="2"/>
        <v>0.15366695999999999</v>
      </c>
      <c r="F54" s="1">
        <f t="shared" si="2"/>
        <v>0.18199995999999996</v>
      </c>
      <c r="G54" s="1">
        <f t="shared" si="2"/>
        <v>0.13949995999999998</v>
      </c>
      <c r="H54" s="1">
        <f t="shared" si="2"/>
        <v>0.11866695999999999</v>
      </c>
      <c r="I54" s="1">
        <f t="shared" si="2"/>
        <v>0.10824995999999998</v>
      </c>
      <c r="J54" s="1">
        <f t="shared" si="2"/>
        <v>0.14699995999999999</v>
      </c>
      <c r="K54" s="1">
        <f t="shared" si="2"/>
        <v>0.14658295999999998</v>
      </c>
    </row>
    <row r="55" spans="1:12" x14ac:dyDescent="0.3">
      <c r="A55" s="5">
        <v>76.332000000000008</v>
      </c>
      <c r="B55" s="1">
        <f t="shared" ref="B55:K55" si="3">B41-B26</f>
        <v>-3.0917040000000021E-2</v>
      </c>
      <c r="C55" s="1">
        <f t="shared" si="3"/>
        <v>6.0749959999999978E-2</v>
      </c>
      <c r="D55" s="1">
        <f t="shared" si="3"/>
        <v>0.10491695999999998</v>
      </c>
      <c r="E55" s="1">
        <f t="shared" si="3"/>
        <v>9.9499959999999985E-2</v>
      </c>
      <c r="F55" s="1">
        <f t="shared" si="3"/>
        <v>0.14949995999999999</v>
      </c>
      <c r="G55" s="1">
        <f t="shared" si="3"/>
        <v>0.10699995999999998</v>
      </c>
      <c r="H55" s="1">
        <f t="shared" si="3"/>
        <v>7.908295999999998E-2</v>
      </c>
      <c r="I55" s="1">
        <f t="shared" si="3"/>
        <v>6.7832959999999984E-2</v>
      </c>
      <c r="J55" s="1">
        <f t="shared" si="3"/>
        <v>0.13491696</v>
      </c>
      <c r="K55" s="1">
        <f t="shared" si="3"/>
        <v>9.9916959999999985E-2</v>
      </c>
    </row>
    <row r="56" spans="1:12" x14ac:dyDescent="0.3">
      <c r="A56" s="5">
        <v>97.77600000000001</v>
      </c>
      <c r="B56" s="1">
        <f t="shared" ref="B56:K56" si="4">B42-B27</f>
        <v>-2.8000040000000011E-2</v>
      </c>
      <c r="C56" s="1">
        <f t="shared" si="4"/>
        <v>4.9499959999999982E-2</v>
      </c>
      <c r="D56" s="1">
        <f t="shared" si="4"/>
        <v>8.8666959999999989E-2</v>
      </c>
      <c r="E56" s="1">
        <f t="shared" si="4"/>
        <v>9.1166959999999991E-2</v>
      </c>
      <c r="F56" s="1">
        <f t="shared" si="4"/>
        <v>0.14616695999999998</v>
      </c>
      <c r="G56" s="1">
        <f t="shared" si="4"/>
        <v>0.10699995999999998</v>
      </c>
      <c r="H56" s="1">
        <f t="shared" si="4"/>
        <v>8.0332959999999981E-2</v>
      </c>
      <c r="I56" s="1">
        <f t="shared" si="4"/>
        <v>7.1582959999999973E-2</v>
      </c>
      <c r="J56" s="1">
        <f t="shared" si="4"/>
        <v>0.13199995999999997</v>
      </c>
      <c r="K56" s="1">
        <f t="shared" si="4"/>
        <v>0.10908295999999999</v>
      </c>
    </row>
    <row r="57" spans="1:12" x14ac:dyDescent="0.3">
      <c r="A57" s="5">
        <v>119.22000000000001</v>
      </c>
      <c r="B57" s="1">
        <f t="shared" ref="B57:K57" si="5">B43-B28</f>
        <v>-3.3000040000000015E-2</v>
      </c>
      <c r="C57" s="1">
        <f t="shared" si="5"/>
        <v>1.6999959999999981E-2</v>
      </c>
      <c r="D57" s="1">
        <f t="shared" si="5"/>
        <v>8.949995999999999E-2</v>
      </c>
      <c r="E57" s="1">
        <f t="shared" si="5"/>
        <v>9.2416959999999992E-2</v>
      </c>
      <c r="F57" s="1">
        <f t="shared" si="5"/>
        <v>0.15324995999999999</v>
      </c>
      <c r="G57" s="1">
        <f t="shared" si="5"/>
        <v>0.11533295999999998</v>
      </c>
      <c r="H57" s="1">
        <f t="shared" si="5"/>
        <v>8.3666959999999985E-2</v>
      </c>
      <c r="I57" s="1">
        <f t="shared" si="5"/>
        <v>7.449995999999999E-2</v>
      </c>
      <c r="J57" s="1">
        <f t="shared" si="5"/>
        <v>0.13616696</v>
      </c>
      <c r="K57" s="1">
        <f t="shared" si="5"/>
        <v>0.12199995999999998</v>
      </c>
    </row>
    <row r="58" spans="1:12" x14ac:dyDescent="0.3">
      <c r="A58" s="5">
        <v>140.66400000000002</v>
      </c>
      <c r="B58" s="1">
        <f t="shared" ref="B58:K58" si="6">B44-B29</f>
        <v>-2.3000040000000017E-2</v>
      </c>
      <c r="C58" s="1">
        <f t="shared" si="6"/>
        <v>1.3249959999999991E-2</v>
      </c>
      <c r="D58" s="1">
        <f t="shared" si="6"/>
        <v>8.949995999999999E-2</v>
      </c>
      <c r="E58" s="1">
        <f t="shared" si="6"/>
        <v>8.8249959999999988E-2</v>
      </c>
      <c r="F58" s="1">
        <f t="shared" si="6"/>
        <v>0.13866695999999998</v>
      </c>
      <c r="G58" s="1">
        <f t="shared" si="6"/>
        <v>0.10824995999999998</v>
      </c>
      <c r="H58" s="1">
        <f t="shared" si="6"/>
        <v>7.866695999999998E-2</v>
      </c>
      <c r="I58" s="1">
        <f t="shared" si="6"/>
        <v>0.14866695999999999</v>
      </c>
      <c r="J58" s="1">
        <f t="shared" si="6"/>
        <v>0.16408296</v>
      </c>
      <c r="K58" s="1">
        <f t="shared" si="6"/>
        <v>0.13116695999999997</v>
      </c>
    </row>
    <row r="59" spans="1:12" x14ac:dyDescent="0.3">
      <c r="A59" s="5">
        <v>162.108</v>
      </c>
      <c r="B59" s="1">
        <f t="shared" ref="B59:K59" si="7">B45-B30</f>
        <v>1.4499959999999978E-2</v>
      </c>
      <c r="C59" s="1">
        <f t="shared" si="7"/>
        <v>3.6166959999999984E-2</v>
      </c>
      <c r="D59" s="1">
        <f t="shared" si="7"/>
        <v>9.5749959999999981E-2</v>
      </c>
      <c r="E59" s="1">
        <f t="shared" si="7"/>
        <v>8.6166959999999987E-2</v>
      </c>
      <c r="F59" s="1">
        <f t="shared" si="7"/>
        <v>0.12991696</v>
      </c>
      <c r="G59" s="1">
        <f t="shared" si="7"/>
        <v>9.6999959999999968E-2</v>
      </c>
      <c r="H59" s="1">
        <f t="shared" si="7"/>
        <v>7.866695999999998E-2</v>
      </c>
      <c r="I59" s="1">
        <f t="shared" si="7"/>
        <v>0.13699995999999998</v>
      </c>
      <c r="J59" s="1">
        <f t="shared" si="7"/>
        <v>0.17033295999999998</v>
      </c>
      <c r="K59" s="1">
        <f t="shared" si="7"/>
        <v>0.14908295999999999</v>
      </c>
    </row>
    <row r="60" spans="1:12" x14ac:dyDescent="0.3">
      <c r="A60" s="5">
        <v>183.55199999999999</v>
      </c>
      <c r="B60" s="1">
        <f t="shared" ref="B60:K60" si="8">B46-B31</f>
        <v>6.408295999999998E-2</v>
      </c>
      <c r="C60" s="1">
        <f t="shared" si="8"/>
        <v>7.7416959999999979E-2</v>
      </c>
      <c r="D60" s="1">
        <f t="shared" si="8"/>
        <v>0.11366695999999998</v>
      </c>
      <c r="E60" s="1">
        <f t="shared" si="8"/>
        <v>9.6166959999999968E-2</v>
      </c>
      <c r="F60" s="1">
        <f t="shared" si="8"/>
        <v>0.12491695999999999</v>
      </c>
      <c r="G60" s="1">
        <f t="shared" si="8"/>
        <v>9.0749959999999977E-2</v>
      </c>
      <c r="H60" s="1">
        <f t="shared" si="8"/>
        <v>7.6999959999999978E-2</v>
      </c>
      <c r="I60" s="1">
        <f t="shared" si="8"/>
        <v>0.13949995999999998</v>
      </c>
      <c r="J60" s="1">
        <f t="shared" si="8"/>
        <v>0.18616695999999999</v>
      </c>
      <c r="K60" s="1">
        <f t="shared" si="8"/>
        <v>0.15283295999999999</v>
      </c>
      <c r="L60" s="5"/>
    </row>
    <row r="61" spans="1:12" x14ac:dyDescent="0.3">
      <c r="A61" s="5">
        <v>204.99599999999998</v>
      </c>
      <c r="B61" s="1">
        <f t="shared" ref="B61:K61" si="9">B47-B32</f>
        <v>5.4082959999999985E-2</v>
      </c>
      <c r="C61" s="1">
        <f t="shared" si="9"/>
        <v>7.533295999999999E-2</v>
      </c>
      <c r="D61" s="1">
        <f t="shared" si="9"/>
        <v>8.3666959999999985E-2</v>
      </c>
      <c r="E61" s="1">
        <f t="shared" si="9"/>
        <v>7.3249959999999989E-2</v>
      </c>
      <c r="F61" s="1">
        <f t="shared" si="9"/>
        <v>0.12783296</v>
      </c>
      <c r="G61" s="1">
        <f t="shared" si="9"/>
        <v>0.10366695999999997</v>
      </c>
      <c r="H61" s="1">
        <f t="shared" si="9"/>
        <v>0.14491695999999998</v>
      </c>
      <c r="I61" s="1">
        <f t="shared" si="9"/>
        <v>0.14533295999999996</v>
      </c>
      <c r="J61" s="1">
        <f t="shared" si="9"/>
        <v>0.17283295999999998</v>
      </c>
      <c r="K61" s="1">
        <f t="shared" si="9"/>
        <v>0.13491695999999997</v>
      </c>
      <c r="L61" s="5"/>
    </row>
    <row r="62" spans="1:12" x14ac:dyDescent="0.3">
      <c r="A62" s="5"/>
      <c r="B62" s="5"/>
      <c r="C62" s="1"/>
      <c r="D62" s="1"/>
      <c r="E62" s="1"/>
      <c r="F62" s="1"/>
      <c r="G62" s="1"/>
      <c r="H62" s="1"/>
      <c r="I62" s="1"/>
      <c r="J62" s="1"/>
      <c r="K62" s="1"/>
      <c r="L62" s="1"/>
    </row>
    <row r="63" spans="1:12" x14ac:dyDescent="0.3">
      <c r="L63" s="1"/>
    </row>
    <row r="64" spans="1:12" x14ac:dyDescent="0.3">
      <c r="L64" s="1"/>
    </row>
    <row r="65" spans="1:12" x14ac:dyDescent="0.3">
      <c r="A65" s="5"/>
      <c r="B65" s="5"/>
      <c r="C65" s="1"/>
      <c r="D65" s="1"/>
      <c r="E65" s="1"/>
      <c r="F65" s="1"/>
      <c r="G65" s="1"/>
      <c r="H65" s="1"/>
      <c r="I65" s="1"/>
      <c r="J65" s="1"/>
      <c r="K65" s="1"/>
      <c r="L65" s="1"/>
    </row>
    <row r="66" spans="1:12" x14ac:dyDescent="0.3">
      <c r="A66" s="5"/>
      <c r="B66" s="5"/>
      <c r="C66" s="1"/>
      <c r="D66" s="1"/>
      <c r="E66" s="1"/>
      <c r="F66" s="1"/>
      <c r="G66" s="1"/>
      <c r="H66" s="1"/>
      <c r="I66" s="1"/>
      <c r="J66" s="1"/>
      <c r="K66" s="1"/>
      <c r="L66" s="1"/>
    </row>
    <row r="67" spans="1:12" x14ac:dyDescent="0.3">
      <c r="A67" s="5"/>
      <c r="B67" s="5"/>
      <c r="C67" s="1"/>
      <c r="D67" s="1"/>
      <c r="E67" s="1"/>
      <c r="F67" s="1"/>
      <c r="G67" s="1"/>
      <c r="H67" s="1"/>
      <c r="I67" s="1"/>
      <c r="J67" s="1"/>
      <c r="K67" s="1"/>
      <c r="L67" s="1"/>
    </row>
    <row r="68" spans="1:12" x14ac:dyDescent="0.3">
      <c r="A68" s="5"/>
      <c r="B68" s="5"/>
      <c r="C68" s="1"/>
      <c r="D68" s="1"/>
      <c r="E68" s="1"/>
      <c r="F68" s="1"/>
      <c r="G68" s="1"/>
      <c r="H68" s="1"/>
      <c r="I68" s="1"/>
      <c r="J68" s="1"/>
      <c r="K68" s="1"/>
      <c r="L68" s="1"/>
    </row>
    <row r="69" spans="1:12" x14ac:dyDescent="0.3">
      <c r="A69" s="5"/>
      <c r="B69" s="5"/>
      <c r="C69" s="1"/>
      <c r="D69" s="1"/>
      <c r="E69" s="1"/>
      <c r="F69" s="1"/>
      <c r="G69" s="1"/>
      <c r="H69" s="1"/>
      <c r="I69" s="1"/>
      <c r="J69" s="1"/>
      <c r="K69" s="1"/>
      <c r="L69" s="1"/>
    </row>
    <row r="70" spans="1:12" x14ac:dyDescent="0.3">
      <c r="A70" s="5"/>
      <c r="B70" s="5"/>
      <c r="C70" s="1"/>
      <c r="D70" s="1"/>
      <c r="E70" s="1"/>
      <c r="F70" s="1"/>
      <c r="G70" s="1"/>
      <c r="H70" s="1"/>
      <c r="I70" s="1"/>
      <c r="J70" s="1"/>
      <c r="K70" s="1"/>
      <c r="L70" s="1"/>
    </row>
    <row r="71" spans="1:12" x14ac:dyDescent="0.3">
      <c r="A71" s="5"/>
      <c r="B71" s="5"/>
      <c r="C71" s="1"/>
      <c r="D71" s="1"/>
      <c r="E71" s="1"/>
      <c r="F71" s="1"/>
      <c r="G71" s="1"/>
      <c r="H71" s="1"/>
      <c r="I71" s="1"/>
      <c r="J71" s="1"/>
      <c r="K71" s="1"/>
      <c r="L71" s="1"/>
    </row>
    <row r="74" spans="1:12" x14ac:dyDescent="0.3">
      <c r="C74" s="1"/>
    </row>
    <row r="75" spans="1:12" x14ac:dyDescent="0.3">
      <c r="B75" s="4"/>
      <c r="C75" s="18"/>
      <c r="D75" s="4"/>
      <c r="E75" s="4"/>
      <c r="F75" s="4"/>
      <c r="G75" s="4"/>
      <c r="H75" s="4"/>
      <c r="I75" s="4"/>
      <c r="J75" s="4"/>
      <c r="K75" s="4"/>
    </row>
    <row r="76" spans="1:12" x14ac:dyDescent="0.3">
      <c r="A76" s="4"/>
      <c r="C76" s="1"/>
    </row>
    <row r="77" spans="1:12" x14ac:dyDescent="0.3">
      <c r="A77" s="4"/>
      <c r="C77" s="1"/>
    </row>
    <row r="78" spans="1:12" x14ac:dyDescent="0.3">
      <c r="A78" s="4"/>
      <c r="C78" s="1"/>
    </row>
    <row r="79" spans="1:12" x14ac:dyDescent="0.3">
      <c r="A79" s="4"/>
      <c r="C79" s="1"/>
    </row>
    <row r="80" spans="1:12" x14ac:dyDescent="0.3">
      <c r="A80" s="4"/>
      <c r="C80" s="1"/>
    </row>
    <row r="81" spans="1:1" x14ac:dyDescent="0.3">
      <c r="A81" s="4"/>
    </row>
    <row r="82" spans="1:1" x14ac:dyDescent="0.3">
      <c r="A82" s="4"/>
    </row>
    <row r="83" spans="1:1" x14ac:dyDescent="0.3">
      <c r="A83" s="4"/>
    </row>
    <row r="84" spans="1:1" x14ac:dyDescent="0.3">
      <c r="A84" s="4"/>
    </row>
    <row r="85" spans="1:1" x14ac:dyDescent="0.3">
      <c r="A85" s="4"/>
    </row>
  </sheetData>
  <conditionalFormatting sqref="O27:X34 C65:L71 L64 C62:K62">
    <cfRule type="colorScale" priority="17">
      <colorScale>
        <cfvo type="num" val="-0.15"/>
        <cfvo type="num" val="0"/>
        <cfvo type="num" val="0.15"/>
        <color rgb="FF00B0F0"/>
        <color theme="0"/>
        <color rgb="FFFF0000"/>
      </colorScale>
    </cfRule>
  </conditionalFormatting>
  <conditionalFormatting sqref="L62:L63">
    <cfRule type="colorScale" priority="12">
      <colorScale>
        <cfvo type="num" val="-0.15"/>
        <cfvo type="num" val="0"/>
        <cfvo type="num" val="0.15"/>
        <color rgb="FF00B0F0"/>
        <color theme="0"/>
        <color rgb="FFFF0000"/>
      </colorScale>
    </cfRule>
  </conditionalFormatting>
  <conditionalFormatting sqref="B23:K32">
    <cfRule type="colorScale" priority="8">
      <colorScale>
        <cfvo type="num" val="-0.15"/>
        <cfvo type="num" val="0"/>
        <cfvo type="num" val="0.15"/>
        <color rgb="FF00B0F0"/>
        <color theme="0"/>
        <color rgb="FFFF0000"/>
      </colorScale>
    </cfRule>
  </conditionalFormatting>
  <conditionalFormatting sqref="B38:K47">
    <cfRule type="colorScale" priority="3">
      <colorScale>
        <cfvo type="num" val="-0.15"/>
        <cfvo type="num" val="0"/>
        <cfvo type="num" val="0.15"/>
        <color rgb="FF00B0F0"/>
        <color theme="0"/>
        <color rgb="FFFF0000"/>
      </colorScale>
    </cfRule>
  </conditionalFormatting>
  <conditionalFormatting sqref="B52:K61">
    <cfRule type="colorScale" priority="1">
      <colorScale>
        <cfvo type="num" val="-0.15"/>
        <cfvo type="num" val="0"/>
        <cfvo type="num" val="0.15"/>
        <color rgb="FF00B0F0"/>
        <color theme="0"/>
        <color rgb="FFFF0000"/>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1AFB2-F928-4BEA-AD14-0412743D3E5C}">
  <sheetPr codeName="Sheet5"/>
  <dimension ref="A14:W116"/>
  <sheetViews>
    <sheetView workbookViewId="0">
      <selection activeCell="H54" sqref="H54"/>
    </sheetView>
  </sheetViews>
  <sheetFormatPr defaultRowHeight="14.4" x14ac:dyDescent="0.3"/>
  <cols>
    <col min="10" max="10" width="9.33203125" customWidth="1"/>
  </cols>
  <sheetData>
    <row r="14" spans="2:11" x14ac:dyDescent="0.3">
      <c r="J14" t="s">
        <v>140</v>
      </c>
    </row>
    <row r="15" spans="2:11" x14ac:dyDescent="0.3">
      <c r="B15" t="s">
        <v>52</v>
      </c>
      <c r="F15" t="s">
        <v>141</v>
      </c>
      <c r="J15" t="s">
        <v>142</v>
      </c>
    </row>
    <row r="16" spans="2:11" x14ac:dyDescent="0.3">
      <c r="B16" t="s">
        <v>46</v>
      </c>
      <c r="C16" t="s">
        <v>47</v>
      </c>
      <c r="D16" t="s">
        <v>48</v>
      </c>
      <c r="E16" t="s">
        <v>49</v>
      </c>
      <c r="F16" t="s">
        <v>46</v>
      </c>
      <c r="G16" t="s">
        <v>47</v>
      </c>
      <c r="H16" t="s">
        <v>48</v>
      </c>
      <c r="I16" t="s">
        <v>49</v>
      </c>
      <c r="J16" t="s">
        <v>143</v>
      </c>
      <c r="K16" t="s">
        <v>144</v>
      </c>
    </row>
    <row r="17" spans="1:23" x14ac:dyDescent="0.3">
      <c r="A17" s="14">
        <v>0</v>
      </c>
      <c r="B17">
        <v>0</v>
      </c>
      <c r="C17">
        <v>32</v>
      </c>
      <c r="D17">
        <v>27</v>
      </c>
      <c r="E17">
        <v>12</v>
      </c>
      <c r="F17" s="6" cm="1">
        <f t="array" ref="F17:F26">_xlfn.UNIQUE(B17:B116)</f>
        <v>0</v>
      </c>
      <c r="G17" s="6" cm="1">
        <f t="array" ref="G17:G26">_xlfn.UNIQUE(C17:C116)</f>
        <v>32</v>
      </c>
      <c r="H17" s="6" cm="1">
        <f t="array" ref="H17:H26">_xlfn.UNIQUE(E17:E116)</f>
        <v>12</v>
      </c>
      <c r="I17" s="6" cm="1">
        <f t="array" ref="I17:I26">_xlfn.UNIQUE(D17:D116)</f>
        <v>27</v>
      </c>
      <c r="J17" s="6">
        <f>F17</f>
        <v>0</v>
      </c>
      <c r="K17" s="6">
        <f>G17</f>
        <v>32</v>
      </c>
      <c r="M17" s="4" t="s">
        <v>53</v>
      </c>
      <c r="N17" s="4">
        <v>27</v>
      </c>
      <c r="O17" s="4">
        <v>47.3</v>
      </c>
      <c r="P17" s="4">
        <v>67.7</v>
      </c>
      <c r="Q17" s="4">
        <v>88</v>
      </c>
      <c r="R17" s="4">
        <v>108.3</v>
      </c>
      <c r="S17" s="4">
        <v>128.6</v>
      </c>
      <c r="T17" s="4">
        <v>149</v>
      </c>
      <c r="U17" s="4">
        <v>169.3</v>
      </c>
      <c r="V17" s="4">
        <v>189.6</v>
      </c>
      <c r="W17" s="4">
        <v>210</v>
      </c>
    </row>
    <row r="18" spans="1:23" x14ac:dyDescent="0.3">
      <c r="A18" s="14">
        <v>1</v>
      </c>
      <c r="B18">
        <v>20.3</v>
      </c>
      <c r="C18">
        <v>32</v>
      </c>
      <c r="D18">
        <v>47.3</v>
      </c>
      <c r="E18">
        <v>12</v>
      </c>
      <c r="F18" s="6">
        <v>20.3</v>
      </c>
      <c r="G18" s="6">
        <v>53.4</v>
      </c>
      <c r="H18" s="6">
        <v>33.4</v>
      </c>
      <c r="I18" s="6">
        <v>47.3</v>
      </c>
      <c r="J18" s="6">
        <f>F18-F17</f>
        <v>20.3</v>
      </c>
      <c r="K18" s="6">
        <f>G18-G17</f>
        <v>21.4</v>
      </c>
      <c r="M18" s="5">
        <v>12</v>
      </c>
    </row>
    <row r="19" spans="1:23" x14ac:dyDescent="0.3">
      <c r="A19" s="14">
        <v>2</v>
      </c>
      <c r="B19">
        <v>40.700000000000003</v>
      </c>
      <c r="C19">
        <v>32</v>
      </c>
      <c r="D19">
        <v>67.7</v>
      </c>
      <c r="E19">
        <v>12</v>
      </c>
      <c r="F19" s="6">
        <v>40.700000000000003</v>
      </c>
      <c r="G19" s="6">
        <v>74.900000000000006</v>
      </c>
      <c r="H19" s="6">
        <v>54.9</v>
      </c>
      <c r="I19" s="6">
        <v>67.7</v>
      </c>
      <c r="J19" s="6">
        <f t="shared" ref="J19:J26" si="0">F19-F18</f>
        <v>20.400000000000002</v>
      </c>
      <c r="K19" s="6">
        <f t="shared" ref="K19:K26" si="1">G19-G18</f>
        <v>21.500000000000007</v>
      </c>
      <c r="M19" s="5">
        <v>33.4</v>
      </c>
    </row>
    <row r="20" spans="1:23" x14ac:dyDescent="0.3">
      <c r="A20" s="14">
        <v>3</v>
      </c>
      <c r="B20">
        <v>61</v>
      </c>
      <c r="C20">
        <v>32</v>
      </c>
      <c r="D20">
        <v>88</v>
      </c>
      <c r="E20">
        <v>12</v>
      </c>
      <c r="F20" s="6">
        <v>61</v>
      </c>
      <c r="G20" s="6">
        <v>96.3</v>
      </c>
      <c r="H20" s="6">
        <v>76.3</v>
      </c>
      <c r="I20" s="6">
        <v>88</v>
      </c>
      <c r="J20" s="6">
        <f t="shared" si="0"/>
        <v>20.299999999999997</v>
      </c>
      <c r="K20" s="6">
        <f t="shared" si="1"/>
        <v>21.399999999999991</v>
      </c>
      <c r="M20" s="5">
        <v>54.9</v>
      </c>
    </row>
    <row r="21" spans="1:23" x14ac:dyDescent="0.3">
      <c r="A21" s="14">
        <v>4</v>
      </c>
      <c r="B21">
        <v>81.3</v>
      </c>
      <c r="C21">
        <v>32</v>
      </c>
      <c r="D21">
        <v>108.3</v>
      </c>
      <c r="E21">
        <v>12</v>
      </c>
      <c r="F21" s="6">
        <v>81.3</v>
      </c>
      <c r="G21" s="6">
        <v>117.8</v>
      </c>
      <c r="H21" s="6">
        <v>97.8</v>
      </c>
      <c r="I21" s="6">
        <v>108.3</v>
      </c>
      <c r="J21" s="6">
        <f t="shared" si="0"/>
        <v>20.299999999999997</v>
      </c>
      <c r="K21" s="6">
        <f t="shared" si="1"/>
        <v>21.5</v>
      </c>
      <c r="M21" s="5">
        <v>76.3</v>
      </c>
    </row>
    <row r="22" spans="1:23" x14ac:dyDescent="0.3">
      <c r="A22" s="14">
        <v>5</v>
      </c>
      <c r="B22">
        <v>101.6</v>
      </c>
      <c r="C22">
        <v>32</v>
      </c>
      <c r="D22">
        <v>128.6</v>
      </c>
      <c r="E22">
        <v>12</v>
      </c>
      <c r="F22" s="6">
        <v>101.6</v>
      </c>
      <c r="G22" s="6">
        <v>139.19999999999999</v>
      </c>
      <c r="H22" s="6">
        <v>119.2</v>
      </c>
      <c r="I22" s="6">
        <v>128.6</v>
      </c>
      <c r="J22" s="6">
        <f t="shared" si="0"/>
        <v>20.299999999999997</v>
      </c>
      <c r="K22" s="6">
        <f t="shared" si="1"/>
        <v>21.399999999999991</v>
      </c>
      <c r="M22" s="5">
        <v>97.8</v>
      </c>
    </row>
    <row r="23" spans="1:23" x14ac:dyDescent="0.3">
      <c r="A23" s="14">
        <v>6</v>
      </c>
      <c r="B23">
        <v>122</v>
      </c>
      <c r="C23">
        <v>32</v>
      </c>
      <c r="D23">
        <v>149</v>
      </c>
      <c r="E23">
        <v>12</v>
      </c>
      <c r="F23" s="6">
        <v>122</v>
      </c>
      <c r="G23" s="6">
        <v>160.6</v>
      </c>
      <c r="H23" s="6">
        <v>140.6</v>
      </c>
      <c r="I23" s="6">
        <v>149</v>
      </c>
      <c r="J23" s="6">
        <f t="shared" si="0"/>
        <v>20.400000000000006</v>
      </c>
      <c r="K23" s="6">
        <f t="shared" si="1"/>
        <v>21.400000000000006</v>
      </c>
      <c r="M23" s="5">
        <v>119.2</v>
      </c>
    </row>
    <row r="24" spans="1:23" x14ac:dyDescent="0.3">
      <c r="A24" s="14">
        <v>7</v>
      </c>
      <c r="B24">
        <v>142.30000000000001</v>
      </c>
      <c r="C24">
        <v>32</v>
      </c>
      <c r="D24">
        <v>169.3</v>
      </c>
      <c r="E24">
        <v>12</v>
      </c>
      <c r="F24" s="6">
        <v>142.30000000000001</v>
      </c>
      <c r="G24" s="6">
        <v>182.1</v>
      </c>
      <c r="H24" s="6">
        <v>162.1</v>
      </c>
      <c r="I24" s="6">
        <v>169.3</v>
      </c>
      <c r="J24" s="6">
        <f t="shared" si="0"/>
        <v>20.300000000000011</v>
      </c>
      <c r="K24" s="6">
        <f t="shared" si="1"/>
        <v>21.5</v>
      </c>
      <c r="M24" s="5">
        <v>140.6</v>
      </c>
    </row>
    <row r="25" spans="1:23" x14ac:dyDescent="0.3">
      <c r="A25" s="14">
        <v>8</v>
      </c>
      <c r="B25">
        <v>162.6</v>
      </c>
      <c r="C25">
        <v>32</v>
      </c>
      <c r="D25">
        <v>189.6</v>
      </c>
      <c r="E25">
        <v>12</v>
      </c>
      <c r="F25" s="6">
        <v>162.6</v>
      </c>
      <c r="G25" s="6">
        <v>203.5</v>
      </c>
      <c r="H25" s="6">
        <v>183.5</v>
      </c>
      <c r="I25" s="6">
        <v>189.6</v>
      </c>
      <c r="J25" s="6">
        <f t="shared" si="0"/>
        <v>20.299999999999983</v>
      </c>
      <c r="K25" s="6">
        <f t="shared" si="1"/>
        <v>21.400000000000006</v>
      </c>
      <c r="M25" s="5">
        <v>162.1</v>
      </c>
    </row>
    <row r="26" spans="1:23" x14ac:dyDescent="0.3">
      <c r="A26" s="14">
        <v>9</v>
      </c>
      <c r="B26">
        <v>183</v>
      </c>
      <c r="C26">
        <v>32</v>
      </c>
      <c r="D26">
        <v>210</v>
      </c>
      <c r="E26">
        <v>12</v>
      </c>
      <c r="F26" s="6">
        <v>183</v>
      </c>
      <c r="G26" s="6">
        <v>225</v>
      </c>
      <c r="H26" s="6">
        <v>205</v>
      </c>
      <c r="I26" s="6">
        <v>210</v>
      </c>
      <c r="J26" s="6">
        <f t="shared" si="0"/>
        <v>20.400000000000006</v>
      </c>
      <c r="K26" s="6">
        <f t="shared" si="1"/>
        <v>21.5</v>
      </c>
      <c r="M26" s="5">
        <v>183.5</v>
      </c>
    </row>
    <row r="27" spans="1:23" x14ac:dyDescent="0.3">
      <c r="A27" s="14">
        <v>10</v>
      </c>
      <c r="B27">
        <v>183</v>
      </c>
      <c r="C27">
        <v>53.4</v>
      </c>
      <c r="D27">
        <v>210</v>
      </c>
      <c r="E27">
        <v>33.4</v>
      </c>
      <c r="G27" t="s">
        <v>145</v>
      </c>
      <c r="J27">
        <f>AVERAGE(J18:J26)</f>
        <v>20.333333333333332</v>
      </c>
      <c r="K27">
        <f>AVERAGE(K18:K26)</f>
        <v>21.444444444444443</v>
      </c>
      <c r="M27" s="5">
        <v>205</v>
      </c>
    </row>
    <row r="28" spans="1:23" x14ac:dyDescent="0.3">
      <c r="A28" s="14">
        <v>11</v>
      </c>
      <c r="B28">
        <v>162.6</v>
      </c>
      <c r="C28">
        <v>53.4</v>
      </c>
      <c r="D28">
        <v>189.6</v>
      </c>
      <c r="E28">
        <v>33.4</v>
      </c>
    </row>
    <row r="29" spans="1:23" x14ac:dyDescent="0.3">
      <c r="A29" s="14">
        <v>12</v>
      </c>
      <c r="B29">
        <v>142.30000000000001</v>
      </c>
      <c r="C29">
        <v>53.4</v>
      </c>
      <c r="D29">
        <v>169.3</v>
      </c>
      <c r="E29">
        <v>33.4</v>
      </c>
    </row>
    <row r="30" spans="1:23" x14ac:dyDescent="0.3">
      <c r="A30" s="14">
        <v>13</v>
      </c>
      <c r="B30">
        <v>122</v>
      </c>
      <c r="C30">
        <v>53.4</v>
      </c>
      <c r="D30">
        <v>149</v>
      </c>
      <c r="E30">
        <v>33.4</v>
      </c>
    </row>
    <row r="31" spans="1:23" x14ac:dyDescent="0.3">
      <c r="A31" s="14">
        <v>14</v>
      </c>
      <c r="B31">
        <v>101.6</v>
      </c>
      <c r="C31">
        <v>53.4</v>
      </c>
      <c r="D31">
        <v>128.6</v>
      </c>
      <c r="E31">
        <v>33.4</v>
      </c>
    </row>
    <row r="32" spans="1:23" x14ac:dyDescent="0.3">
      <c r="A32" s="14">
        <v>15</v>
      </c>
      <c r="B32">
        <v>81.3</v>
      </c>
      <c r="C32">
        <v>53.4</v>
      </c>
      <c r="D32">
        <v>108.3</v>
      </c>
      <c r="E32">
        <v>33.4</v>
      </c>
    </row>
    <row r="33" spans="1:5" x14ac:dyDescent="0.3">
      <c r="A33" s="14">
        <v>16</v>
      </c>
      <c r="B33">
        <v>61</v>
      </c>
      <c r="C33">
        <v>53.4</v>
      </c>
      <c r="D33">
        <v>88</v>
      </c>
      <c r="E33">
        <v>33.4</v>
      </c>
    </row>
    <row r="34" spans="1:5" x14ac:dyDescent="0.3">
      <c r="A34" s="14">
        <v>17</v>
      </c>
      <c r="B34">
        <v>40.700000000000003</v>
      </c>
      <c r="C34">
        <v>53.4</v>
      </c>
      <c r="D34">
        <v>67.7</v>
      </c>
      <c r="E34">
        <v>33.4</v>
      </c>
    </row>
    <row r="35" spans="1:5" x14ac:dyDescent="0.3">
      <c r="A35" s="14">
        <v>18</v>
      </c>
      <c r="B35">
        <v>20.3</v>
      </c>
      <c r="C35">
        <v>53.4</v>
      </c>
      <c r="D35">
        <v>47.3</v>
      </c>
      <c r="E35">
        <v>33.4</v>
      </c>
    </row>
    <row r="36" spans="1:5" x14ac:dyDescent="0.3">
      <c r="A36" s="14">
        <v>19</v>
      </c>
      <c r="B36">
        <v>0</v>
      </c>
      <c r="C36">
        <v>53.4</v>
      </c>
      <c r="D36">
        <v>27</v>
      </c>
      <c r="E36">
        <v>33.4</v>
      </c>
    </row>
    <row r="37" spans="1:5" x14ac:dyDescent="0.3">
      <c r="A37" s="14">
        <v>20</v>
      </c>
      <c r="B37">
        <v>0</v>
      </c>
      <c r="C37">
        <v>74.900000000000006</v>
      </c>
      <c r="D37">
        <v>27</v>
      </c>
      <c r="E37">
        <v>54.9</v>
      </c>
    </row>
    <row r="38" spans="1:5" x14ac:dyDescent="0.3">
      <c r="A38" s="14">
        <v>21</v>
      </c>
      <c r="B38">
        <v>20.3</v>
      </c>
      <c r="C38">
        <v>74.900000000000006</v>
      </c>
      <c r="D38">
        <v>47.3</v>
      </c>
      <c r="E38">
        <v>54.9</v>
      </c>
    </row>
    <row r="39" spans="1:5" x14ac:dyDescent="0.3">
      <c r="A39" s="14">
        <v>22</v>
      </c>
      <c r="B39">
        <v>40.700000000000003</v>
      </c>
      <c r="C39">
        <v>74.900000000000006</v>
      </c>
      <c r="D39">
        <v>67.7</v>
      </c>
      <c r="E39">
        <v>54.9</v>
      </c>
    </row>
    <row r="40" spans="1:5" x14ac:dyDescent="0.3">
      <c r="A40" s="14">
        <v>23</v>
      </c>
      <c r="B40">
        <v>61</v>
      </c>
      <c r="C40">
        <v>74.900000000000006</v>
      </c>
      <c r="D40">
        <v>88</v>
      </c>
      <c r="E40">
        <v>54.9</v>
      </c>
    </row>
    <row r="41" spans="1:5" x14ac:dyDescent="0.3">
      <c r="A41" s="14">
        <v>24</v>
      </c>
      <c r="B41">
        <v>81.3</v>
      </c>
      <c r="C41">
        <v>74.900000000000006</v>
      </c>
      <c r="D41">
        <v>108.3</v>
      </c>
      <c r="E41">
        <v>54.9</v>
      </c>
    </row>
    <row r="42" spans="1:5" x14ac:dyDescent="0.3">
      <c r="A42" s="14">
        <v>25</v>
      </c>
      <c r="B42">
        <v>101.6</v>
      </c>
      <c r="C42">
        <v>74.900000000000006</v>
      </c>
      <c r="D42">
        <v>128.6</v>
      </c>
      <c r="E42">
        <v>54.9</v>
      </c>
    </row>
    <row r="43" spans="1:5" x14ac:dyDescent="0.3">
      <c r="A43" s="14">
        <v>26</v>
      </c>
      <c r="B43">
        <v>122</v>
      </c>
      <c r="C43">
        <v>74.900000000000006</v>
      </c>
      <c r="D43">
        <v>149</v>
      </c>
      <c r="E43">
        <v>54.9</v>
      </c>
    </row>
    <row r="44" spans="1:5" x14ac:dyDescent="0.3">
      <c r="A44" s="14">
        <v>27</v>
      </c>
      <c r="B44">
        <v>142.30000000000001</v>
      </c>
      <c r="C44">
        <v>74.900000000000006</v>
      </c>
      <c r="D44">
        <v>169.3</v>
      </c>
      <c r="E44">
        <v>54.9</v>
      </c>
    </row>
    <row r="45" spans="1:5" x14ac:dyDescent="0.3">
      <c r="A45" s="14">
        <v>28</v>
      </c>
      <c r="B45">
        <v>162.6</v>
      </c>
      <c r="C45">
        <v>74.900000000000006</v>
      </c>
      <c r="D45">
        <v>189.6</v>
      </c>
      <c r="E45">
        <v>54.9</v>
      </c>
    </row>
    <row r="46" spans="1:5" x14ac:dyDescent="0.3">
      <c r="A46" s="14">
        <v>29</v>
      </c>
      <c r="B46">
        <v>183</v>
      </c>
      <c r="C46">
        <v>74.900000000000006</v>
      </c>
      <c r="D46">
        <v>210</v>
      </c>
      <c r="E46">
        <v>54.9</v>
      </c>
    </row>
    <row r="47" spans="1:5" x14ac:dyDescent="0.3">
      <c r="A47" s="14">
        <v>30</v>
      </c>
      <c r="B47">
        <v>183</v>
      </c>
      <c r="C47">
        <v>96.3</v>
      </c>
      <c r="D47">
        <v>210</v>
      </c>
      <c r="E47">
        <v>76.3</v>
      </c>
    </row>
    <row r="48" spans="1:5" x14ac:dyDescent="0.3">
      <c r="A48" s="14">
        <v>31</v>
      </c>
      <c r="B48">
        <v>162.6</v>
      </c>
      <c r="C48">
        <v>96.3</v>
      </c>
      <c r="D48">
        <v>189.6</v>
      </c>
      <c r="E48">
        <v>76.3</v>
      </c>
    </row>
    <row r="49" spans="1:5" x14ac:dyDescent="0.3">
      <c r="A49" s="14">
        <v>32</v>
      </c>
      <c r="B49">
        <v>142.30000000000001</v>
      </c>
      <c r="C49">
        <v>96.3</v>
      </c>
      <c r="D49">
        <v>169.3</v>
      </c>
      <c r="E49">
        <v>76.3</v>
      </c>
    </row>
    <row r="50" spans="1:5" x14ac:dyDescent="0.3">
      <c r="A50" s="14">
        <v>33</v>
      </c>
      <c r="B50">
        <v>122</v>
      </c>
      <c r="C50">
        <v>96.3</v>
      </c>
      <c r="D50">
        <v>149</v>
      </c>
      <c r="E50">
        <v>76.3</v>
      </c>
    </row>
    <row r="51" spans="1:5" x14ac:dyDescent="0.3">
      <c r="A51" s="14">
        <v>34</v>
      </c>
      <c r="B51">
        <v>101.6</v>
      </c>
      <c r="C51">
        <v>96.3</v>
      </c>
      <c r="D51">
        <v>128.6</v>
      </c>
      <c r="E51">
        <v>76.3</v>
      </c>
    </row>
    <row r="52" spans="1:5" x14ac:dyDescent="0.3">
      <c r="A52" s="14">
        <v>35</v>
      </c>
      <c r="B52">
        <v>81.3</v>
      </c>
      <c r="C52">
        <v>96.3</v>
      </c>
      <c r="D52">
        <v>108.3</v>
      </c>
      <c r="E52">
        <v>76.3</v>
      </c>
    </row>
    <row r="53" spans="1:5" x14ac:dyDescent="0.3">
      <c r="A53" s="14">
        <v>36</v>
      </c>
      <c r="B53">
        <v>61</v>
      </c>
      <c r="C53">
        <v>96.3</v>
      </c>
      <c r="D53">
        <v>88</v>
      </c>
      <c r="E53">
        <v>76.3</v>
      </c>
    </row>
    <row r="54" spans="1:5" x14ac:dyDescent="0.3">
      <c r="A54" s="14">
        <v>37</v>
      </c>
      <c r="B54">
        <v>40.700000000000003</v>
      </c>
      <c r="C54">
        <v>96.3</v>
      </c>
      <c r="D54">
        <v>67.7</v>
      </c>
      <c r="E54">
        <v>76.3</v>
      </c>
    </row>
    <row r="55" spans="1:5" x14ac:dyDescent="0.3">
      <c r="A55" s="14">
        <v>38</v>
      </c>
      <c r="B55">
        <v>20.3</v>
      </c>
      <c r="C55">
        <v>96.3</v>
      </c>
      <c r="D55">
        <v>47.3</v>
      </c>
      <c r="E55">
        <v>76.3</v>
      </c>
    </row>
    <row r="56" spans="1:5" x14ac:dyDescent="0.3">
      <c r="A56" s="14">
        <v>39</v>
      </c>
      <c r="B56">
        <v>0</v>
      </c>
      <c r="C56">
        <v>96.3</v>
      </c>
      <c r="D56">
        <v>27</v>
      </c>
      <c r="E56">
        <v>76.3</v>
      </c>
    </row>
    <row r="57" spans="1:5" x14ac:dyDescent="0.3">
      <c r="A57" s="14">
        <v>40</v>
      </c>
      <c r="B57">
        <v>0</v>
      </c>
      <c r="C57">
        <v>117.8</v>
      </c>
      <c r="D57">
        <v>27</v>
      </c>
      <c r="E57">
        <v>97.8</v>
      </c>
    </row>
    <row r="58" spans="1:5" x14ac:dyDescent="0.3">
      <c r="A58" s="14">
        <v>41</v>
      </c>
      <c r="B58">
        <v>20.3</v>
      </c>
      <c r="C58">
        <v>117.8</v>
      </c>
      <c r="D58">
        <v>47.3</v>
      </c>
      <c r="E58">
        <v>97.8</v>
      </c>
    </row>
    <row r="59" spans="1:5" x14ac:dyDescent="0.3">
      <c r="A59" s="14">
        <v>42</v>
      </c>
      <c r="B59">
        <v>40.700000000000003</v>
      </c>
      <c r="C59">
        <v>117.8</v>
      </c>
      <c r="D59">
        <v>67.7</v>
      </c>
      <c r="E59">
        <v>97.8</v>
      </c>
    </row>
    <row r="60" spans="1:5" x14ac:dyDescent="0.3">
      <c r="A60" s="14">
        <v>43</v>
      </c>
      <c r="B60">
        <v>61</v>
      </c>
      <c r="C60">
        <v>117.8</v>
      </c>
      <c r="D60">
        <v>88</v>
      </c>
      <c r="E60">
        <v>97.8</v>
      </c>
    </row>
    <row r="61" spans="1:5" x14ac:dyDescent="0.3">
      <c r="A61" s="14">
        <v>44</v>
      </c>
      <c r="B61">
        <v>81.3</v>
      </c>
      <c r="C61">
        <v>117.8</v>
      </c>
      <c r="D61">
        <v>108.3</v>
      </c>
      <c r="E61">
        <v>97.8</v>
      </c>
    </row>
    <row r="62" spans="1:5" x14ac:dyDescent="0.3">
      <c r="A62" s="14">
        <v>45</v>
      </c>
      <c r="B62">
        <v>101.6</v>
      </c>
      <c r="C62">
        <v>117.8</v>
      </c>
      <c r="D62">
        <v>128.6</v>
      </c>
      <c r="E62">
        <v>97.8</v>
      </c>
    </row>
    <row r="63" spans="1:5" x14ac:dyDescent="0.3">
      <c r="A63" s="14">
        <v>46</v>
      </c>
      <c r="B63">
        <v>122</v>
      </c>
      <c r="C63">
        <v>117.8</v>
      </c>
      <c r="D63">
        <v>149</v>
      </c>
      <c r="E63">
        <v>97.8</v>
      </c>
    </row>
    <row r="64" spans="1:5" x14ac:dyDescent="0.3">
      <c r="A64" s="14">
        <v>47</v>
      </c>
      <c r="B64">
        <v>142.30000000000001</v>
      </c>
      <c r="C64">
        <v>117.8</v>
      </c>
      <c r="D64">
        <v>169.3</v>
      </c>
      <c r="E64">
        <v>97.8</v>
      </c>
    </row>
    <row r="65" spans="1:5" x14ac:dyDescent="0.3">
      <c r="A65" s="14">
        <v>48</v>
      </c>
      <c r="B65">
        <v>162.6</v>
      </c>
      <c r="C65">
        <v>117.8</v>
      </c>
      <c r="D65">
        <v>189.6</v>
      </c>
      <c r="E65">
        <v>97.8</v>
      </c>
    </row>
    <row r="66" spans="1:5" x14ac:dyDescent="0.3">
      <c r="A66" s="14">
        <v>49</v>
      </c>
      <c r="B66">
        <v>183</v>
      </c>
      <c r="C66">
        <v>117.8</v>
      </c>
      <c r="D66">
        <v>210</v>
      </c>
      <c r="E66">
        <v>97.8</v>
      </c>
    </row>
    <row r="67" spans="1:5" x14ac:dyDescent="0.3">
      <c r="A67" s="14">
        <v>50</v>
      </c>
      <c r="B67">
        <v>183</v>
      </c>
      <c r="C67">
        <v>139.19999999999999</v>
      </c>
      <c r="D67">
        <v>210</v>
      </c>
      <c r="E67">
        <v>119.2</v>
      </c>
    </row>
    <row r="68" spans="1:5" x14ac:dyDescent="0.3">
      <c r="A68" s="14">
        <v>51</v>
      </c>
      <c r="B68">
        <v>162.6</v>
      </c>
      <c r="C68">
        <v>139.19999999999999</v>
      </c>
      <c r="D68">
        <v>189.6</v>
      </c>
      <c r="E68">
        <v>119.2</v>
      </c>
    </row>
    <row r="69" spans="1:5" x14ac:dyDescent="0.3">
      <c r="A69" s="14">
        <v>52</v>
      </c>
      <c r="B69">
        <v>142.30000000000001</v>
      </c>
      <c r="C69">
        <v>139.19999999999999</v>
      </c>
      <c r="D69">
        <v>169.3</v>
      </c>
      <c r="E69">
        <v>119.2</v>
      </c>
    </row>
    <row r="70" spans="1:5" x14ac:dyDescent="0.3">
      <c r="A70" s="14">
        <v>53</v>
      </c>
      <c r="B70">
        <v>122</v>
      </c>
      <c r="C70">
        <v>139.19999999999999</v>
      </c>
      <c r="D70">
        <v>149</v>
      </c>
      <c r="E70">
        <v>119.2</v>
      </c>
    </row>
    <row r="71" spans="1:5" x14ac:dyDescent="0.3">
      <c r="A71" s="14">
        <v>54</v>
      </c>
      <c r="B71">
        <v>101.6</v>
      </c>
      <c r="C71">
        <v>139.19999999999999</v>
      </c>
      <c r="D71">
        <v>128.6</v>
      </c>
      <c r="E71">
        <v>119.2</v>
      </c>
    </row>
    <row r="72" spans="1:5" x14ac:dyDescent="0.3">
      <c r="A72" s="14">
        <v>55</v>
      </c>
      <c r="B72">
        <v>81.3</v>
      </c>
      <c r="C72">
        <v>139.19999999999999</v>
      </c>
      <c r="D72">
        <v>108.3</v>
      </c>
      <c r="E72">
        <v>119.2</v>
      </c>
    </row>
    <row r="73" spans="1:5" x14ac:dyDescent="0.3">
      <c r="A73" s="14">
        <v>56</v>
      </c>
      <c r="B73">
        <v>61</v>
      </c>
      <c r="C73">
        <v>139.19999999999999</v>
      </c>
      <c r="D73">
        <v>88</v>
      </c>
      <c r="E73">
        <v>119.2</v>
      </c>
    </row>
    <row r="74" spans="1:5" x14ac:dyDescent="0.3">
      <c r="A74" s="14">
        <v>57</v>
      </c>
      <c r="B74">
        <v>40.700000000000003</v>
      </c>
      <c r="C74">
        <v>139.19999999999999</v>
      </c>
      <c r="D74">
        <v>67.7</v>
      </c>
      <c r="E74">
        <v>119.2</v>
      </c>
    </row>
    <row r="75" spans="1:5" x14ac:dyDescent="0.3">
      <c r="A75" s="14">
        <v>58</v>
      </c>
      <c r="B75">
        <v>20.3</v>
      </c>
      <c r="C75">
        <v>139.19999999999999</v>
      </c>
      <c r="D75">
        <v>47.3</v>
      </c>
      <c r="E75">
        <v>119.2</v>
      </c>
    </row>
    <row r="76" spans="1:5" x14ac:dyDescent="0.3">
      <c r="A76" s="14">
        <v>59</v>
      </c>
      <c r="B76">
        <v>0</v>
      </c>
      <c r="C76">
        <v>139.19999999999999</v>
      </c>
      <c r="D76">
        <v>27</v>
      </c>
      <c r="E76">
        <v>119.2</v>
      </c>
    </row>
    <row r="77" spans="1:5" x14ac:dyDescent="0.3">
      <c r="A77" s="14">
        <v>60</v>
      </c>
      <c r="B77">
        <v>0</v>
      </c>
      <c r="C77">
        <v>160.6</v>
      </c>
      <c r="D77">
        <v>27</v>
      </c>
      <c r="E77">
        <v>140.6</v>
      </c>
    </row>
    <row r="78" spans="1:5" x14ac:dyDescent="0.3">
      <c r="A78" s="14">
        <v>61</v>
      </c>
      <c r="B78">
        <v>20.3</v>
      </c>
      <c r="C78">
        <v>160.6</v>
      </c>
      <c r="D78">
        <v>47.3</v>
      </c>
      <c r="E78">
        <v>140.6</v>
      </c>
    </row>
    <row r="79" spans="1:5" x14ac:dyDescent="0.3">
      <c r="A79" s="14">
        <v>62</v>
      </c>
      <c r="B79">
        <v>40.700000000000003</v>
      </c>
      <c r="C79">
        <v>160.6</v>
      </c>
      <c r="D79">
        <v>67.7</v>
      </c>
      <c r="E79">
        <v>140.6</v>
      </c>
    </row>
    <row r="80" spans="1:5" x14ac:dyDescent="0.3">
      <c r="A80" s="14">
        <v>63</v>
      </c>
      <c r="B80">
        <v>61</v>
      </c>
      <c r="C80">
        <v>160.6</v>
      </c>
      <c r="D80">
        <v>88</v>
      </c>
      <c r="E80">
        <v>140.6</v>
      </c>
    </row>
    <row r="81" spans="1:5" x14ac:dyDescent="0.3">
      <c r="A81" s="14">
        <v>64</v>
      </c>
      <c r="B81">
        <v>81.3</v>
      </c>
      <c r="C81">
        <v>160.6</v>
      </c>
      <c r="D81">
        <v>108.3</v>
      </c>
      <c r="E81">
        <v>140.6</v>
      </c>
    </row>
    <row r="82" spans="1:5" x14ac:dyDescent="0.3">
      <c r="A82" s="14">
        <v>65</v>
      </c>
      <c r="B82">
        <v>101.6</v>
      </c>
      <c r="C82">
        <v>160.6</v>
      </c>
      <c r="D82">
        <v>128.6</v>
      </c>
      <c r="E82">
        <v>140.6</v>
      </c>
    </row>
    <row r="83" spans="1:5" x14ac:dyDescent="0.3">
      <c r="A83" s="14">
        <v>66</v>
      </c>
      <c r="B83">
        <v>122</v>
      </c>
      <c r="C83">
        <v>160.6</v>
      </c>
      <c r="D83">
        <v>149</v>
      </c>
      <c r="E83">
        <v>140.6</v>
      </c>
    </row>
    <row r="84" spans="1:5" x14ac:dyDescent="0.3">
      <c r="A84" s="14">
        <v>67</v>
      </c>
      <c r="B84">
        <v>142.30000000000001</v>
      </c>
      <c r="C84">
        <v>160.6</v>
      </c>
      <c r="D84">
        <v>169.3</v>
      </c>
      <c r="E84">
        <v>140.6</v>
      </c>
    </row>
    <row r="85" spans="1:5" x14ac:dyDescent="0.3">
      <c r="A85" s="14">
        <v>68</v>
      </c>
      <c r="B85">
        <v>162.6</v>
      </c>
      <c r="C85">
        <v>160.6</v>
      </c>
      <c r="D85">
        <v>189.6</v>
      </c>
      <c r="E85">
        <v>140.6</v>
      </c>
    </row>
    <row r="86" spans="1:5" x14ac:dyDescent="0.3">
      <c r="A86" s="14">
        <v>69</v>
      </c>
      <c r="B86">
        <v>183</v>
      </c>
      <c r="C86">
        <v>160.6</v>
      </c>
      <c r="D86">
        <v>210</v>
      </c>
      <c r="E86">
        <v>140.6</v>
      </c>
    </row>
    <row r="87" spans="1:5" x14ac:dyDescent="0.3">
      <c r="A87" s="14">
        <v>70</v>
      </c>
      <c r="B87">
        <v>183</v>
      </c>
      <c r="C87">
        <v>182.1</v>
      </c>
      <c r="D87">
        <v>210</v>
      </c>
      <c r="E87">
        <v>162.1</v>
      </c>
    </row>
    <row r="88" spans="1:5" x14ac:dyDescent="0.3">
      <c r="A88" s="14">
        <v>71</v>
      </c>
      <c r="B88">
        <v>162.6</v>
      </c>
      <c r="C88">
        <v>182.1</v>
      </c>
      <c r="D88">
        <v>189.6</v>
      </c>
      <c r="E88">
        <v>162.1</v>
      </c>
    </row>
    <row r="89" spans="1:5" x14ac:dyDescent="0.3">
      <c r="A89" s="14">
        <v>72</v>
      </c>
      <c r="B89">
        <v>142.30000000000001</v>
      </c>
      <c r="C89">
        <v>182.1</v>
      </c>
      <c r="D89">
        <v>169.3</v>
      </c>
      <c r="E89">
        <v>162.1</v>
      </c>
    </row>
    <row r="90" spans="1:5" x14ac:dyDescent="0.3">
      <c r="A90" s="14">
        <v>73</v>
      </c>
      <c r="B90">
        <v>122</v>
      </c>
      <c r="C90">
        <v>182.1</v>
      </c>
      <c r="D90">
        <v>149</v>
      </c>
      <c r="E90">
        <v>162.1</v>
      </c>
    </row>
    <row r="91" spans="1:5" x14ac:dyDescent="0.3">
      <c r="A91" s="14">
        <v>74</v>
      </c>
      <c r="B91">
        <v>101.6</v>
      </c>
      <c r="C91">
        <v>182.1</v>
      </c>
      <c r="D91">
        <v>128.6</v>
      </c>
      <c r="E91">
        <v>162.1</v>
      </c>
    </row>
    <row r="92" spans="1:5" x14ac:dyDescent="0.3">
      <c r="A92" s="14">
        <v>75</v>
      </c>
      <c r="B92">
        <v>81.3</v>
      </c>
      <c r="C92">
        <v>182.1</v>
      </c>
      <c r="D92">
        <v>108.3</v>
      </c>
      <c r="E92">
        <v>162.1</v>
      </c>
    </row>
    <row r="93" spans="1:5" x14ac:dyDescent="0.3">
      <c r="A93" s="14">
        <v>76</v>
      </c>
      <c r="B93">
        <v>61</v>
      </c>
      <c r="C93">
        <v>182.1</v>
      </c>
      <c r="D93">
        <v>88</v>
      </c>
      <c r="E93">
        <v>162.1</v>
      </c>
    </row>
    <row r="94" spans="1:5" x14ac:dyDescent="0.3">
      <c r="A94" s="14">
        <v>77</v>
      </c>
      <c r="B94">
        <v>40.700000000000003</v>
      </c>
      <c r="C94">
        <v>182.1</v>
      </c>
      <c r="D94">
        <v>67.7</v>
      </c>
      <c r="E94">
        <v>162.1</v>
      </c>
    </row>
    <row r="95" spans="1:5" x14ac:dyDescent="0.3">
      <c r="A95" s="14">
        <v>78</v>
      </c>
      <c r="B95">
        <v>20.3</v>
      </c>
      <c r="C95">
        <v>182.1</v>
      </c>
      <c r="D95">
        <v>47.3</v>
      </c>
      <c r="E95">
        <v>162.1</v>
      </c>
    </row>
    <row r="96" spans="1:5" x14ac:dyDescent="0.3">
      <c r="A96" s="14">
        <v>79</v>
      </c>
      <c r="B96">
        <v>0</v>
      </c>
      <c r="C96">
        <v>182.1</v>
      </c>
      <c r="D96">
        <v>27</v>
      </c>
      <c r="E96">
        <v>162.1</v>
      </c>
    </row>
    <row r="97" spans="1:5" x14ac:dyDescent="0.3">
      <c r="A97" s="14">
        <v>80</v>
      </c>
      <c r="B97">
        <v>0</v>
      </c>
      <c r="C97">
        <v>203.5</v>
      </c>
      <c r="D97">
        <v>27</v>
      </c>
      <c r="E97">
        <v>183.5</v>
      </c>
    </row>
    <row r="98" spans="1:5" x14ac:dyDescent="0.3">
      <c r="A98" s="14">
        <v>81</v>
      </c>
      <c r="B98">
        <v>20.3</v>
      </c>
      <c r="C98">
        <v>203.5</v>
      </c>
      <c r="D98">
        <v>47.3</v>
      </c>
      <c r="E98">
        <v>183.5</v>
      </c>
    </row>
    <row r="99" spans="1:5" x14ac:dyDescent="0.3">
      <c r="A99" s="14">
        <v>82</v>
      </c>
      <c r="B99">
        <v>40.700000000000003</v>
      </c>
      <c r="C99">
        <v>203.5</v>
      </c>
      <c r="D99">
        <v>67.7</v>
      </c>
      <c r="E99">
        <v>183.5</v>
      </c>
    </row>
    <row r="100" spans="1:5" x14ac:dyDescent="0.3">
      <c r="A100" s="14">
        <v>83</v>
      </c>
      <c r="B100">
        <v>61</v>
      </c>
      <c r="C100">
        <v>203.5</v>
      </c>
      <c r="D100">
        <v>88</v>
      </c>
      <c r="E100">
        <v>183.5</v>
      </c>
    </row>
    <row r="101" spans="1:5" x14ac:dyDescent="0.3">
      <c r="A101" s="14">
        <v>84</v>
      </c>
      <c r="B101">
        <v>81.3</v>
      </c>
      <c r="C101">
        <v>203.5</v>
      </c>
      <c r="D101">
        <v>108.3</v>
      </c>
      <c r="E101">
        <v>183.5</v>
      </c>
    </row>
    <row r="102" spans="1:5" x14ac:dyDescent="0.3">
      <c r="A102" s="14">
        <v>85</v>
      </c>
      <c r="B102">
        <v>101.6</v>
      </c>
      <c r="C102">
        <v>203.5</v>
      </c>
      <c r="D102">
        <v>128.6</v>
      </c>
      <c r="E102">
        <v>183.5</v>
      </c>
    </row>
    <row r="103" spans="1:5" x14ac:dyDescent="0.3">
      <c r="A103" s="14">
        <v>86</v>
      </c>
      <c r="B103">
        <v>122</v>
      </c>
      <c r="C103">
        <v>203.5</v>
      </c>
      <c r="D103">
        <v>149</v>
      </c>
      <c r="E103">
        <v>183.5</v>
      </c>
    </row>
    <row r="104" spans="1:5" x14ac:dyDescent="0.3">
      <c r="A104" s="14">
        <v>87</v>
      </c>
      <c r="B104">
        <v>142.30000000000001</v>
      </c>
      <c r="C104">
        <v>203.5</v>
      </c>
      <c r="D104">
        <v>169.3</v>
      </c>
      <c r="E104">
        <v>183.5</v>
      </c>
    </row>
    <row r="105" spans="1:5" x14ac:dyDescent="0.3">
      <c r="A105" s="14">
        <v>88</v>
      </c>
      <c r="B105">
        <v>162.6</v>
      </c>
      <c r="C105">
        <v>203.5</v>
      </c>
      <c r="D105">
        <v>189.6</v>
      </c>
      <c r="E105">
        <v>183.5</v>
      </c>
    </row>
    <row r="106" spans="1:5" x14ac:dyDescent="0.3">
      <c r="A106" s="14">
        <v>89</v>
      </c>
      <c r="B106">
        <v>183</v>
      </c>
      <c r="C106">
        <v>203.5</v>
      </c>
      <c r="D106">
        <v>210</v>
      </c>
      <c r="E106">
        <v>183.5</v>
      </c>
    </row>
    <row r="107" spans="1:5" x14ac:dyDescent="0.3">
      <c r="A107" s="14">
        <v>90</v>
      </c>
      <c r="B107">
        <v>183</v>
      </c>
      <c r="C107">
        <v>225</v>
      </c>
      <c r="D107">
        <v>210</v>
      </c>
      <c r="E107">
        <v>205</v>
      </c>
    </row>
    <row r="108" spans="1:5" x14ac:dyDescent="0.3">
      <c r="A108" s="14">
        <v>91</v>
      </c>
      <c r="B108">
        <v>162.6</v>
      </c>
      <c r="C108">
        <v>225</v>
      </c>
      <c r="D108">
        <v>189.6</v>
      </c>
      <c r="E108">
        <v>205</v>
      </c>
    </row>
    <row r="109" spans="1:5" x14ac:dyDescent="0.3">
      <c r="A109" s="14">
        <v>92</v>
      </c>
      <c r="B109">
        <v>142.30000000000001</v>
      </c>
      <c r="C109">
        <v>225</v>
      </c>
      <c r="D109">
        <v>169.3</v>
      </c>
      <c r="E109">
        <v>205</v>
      </c>
    </row>
    <row r="110" spans="1:5" x14ac:dyDescent="0.3">
      <c r="A110" s="14">
        <v>93</v>
      </c>
      <c r="B110">
        <v>122</v>
      </c>
      <c r="C110">
        <v>225</v>
      </c>
      <c r="D110">
        <v>149</v>
      </c>
      <c r="E110">
        <v>205</v>
      </c>
    </row>
    <row r="111" spans="1:5" x14ac:dyDescent="0.3">
      <c r="A111" s="14">
        <v>94</v>
      </c>
      <c r="B111">
        <v>101.6</v>
      </c>
      <c r="C111">
        <v>225</v>
      </c>
      <c r="D111">
        <v>128.6</v>
      </c>
      <c r="E111">
        <v>205</v>
      </c>
    </row>
    <row r="112" spans="1:5" x14ac:dyDescent="0.3">
      <c r="A112" s="14">
        <v>95</v>
      </c>
      <c r="B112">
        <v>81.3</v>
      </c>
      <c r="C112">
        <v>225</v>
      </c>
      <c r="D112">
        <v>108.3</v>
      </c>
      <c r="E112">
        <v>205</v>
      </c>
    </row>
    <row r="113" spans="1:5" x14ac:dyDescent="0.3">
      <c r="A113" s="14">
        <v>96</v>
      </c>
      <c r="B113">
        <v>61</v>
      </c>
      <c r="C113">
        <v>225</v>
      </c>
      <c r="D113">
        <v>88</v>
      </c>
      <c r="E113">
        <v>205</v>
      </c>
    </row>
    <row r="114" spans="1:5" x14ac:dyDescent="0.3">
      <c r="A114" s="14">
        <v>97</v>
      </c>
      <c r="B114">
        <v>40.700000000000003</v>
      </c>
      <c r="C114">
        <v>225</v>
      </c>
      <c r="D114">
        <v>67.7</v>
      </c>
      <c r="E114">
        <v>205</v>
      </c>
    </row>
    <row r="115" spans="1:5" x14ac:dyDescent="0.3">
      <c r="A115" s="14">
        <v>98</v>
      </c>
      <c r="B115">
        <v>20.3</v>
      </c>
      <c r="C115">
        <v>225</v>
      </c>
      <c r="D115">
        <v>47.3</v>
      </c>
      <c r="E115">
        <v>205</v>
      </c>
    </row>
    <row r="116" spans="1:5" x14ac:dyDescent="0.3">
      <c r="A116" s="14">
        <v>99</v>
      </c>
      <c r="B116">
        <v>0</v>
      </c>
      <c r="C116">
        <v>225</v>
      </c>
      <c r="D116">
        <v>27</v>
      </c>
      <c r="E116">
        <v>205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A4FB7-A949-4A51-9286-A092990B10C5}">
  <sheetPr codeName="Sheet8"/>
  <dimension ref="A3:H211"/>
  <sheetViews>
    <sheetView workbookViewId="0">
      <selection activeCell="M27" sqref="M27"/>
    </sheetView>
  </sheetViews>
  <sheetFormatPr defaultRowHeight="14.4" x14ac:dyDescent="0.3"/>
  <sheetData>
    <row r="3" spans="1:8" x14ac:dyDescent="0.3">
      <c r="A3" t="s">
        <v>146</v>
      </c>
    </row>
    <row r="4" spans="1:8" x14ac:dyDescent="0.3">
      <c r="A4" t="s">
        <v>104</v>
      </c>
    </row>
    <row r="9" spans="1:8" x14ac:dyDescent="0.3">
      <c r="A9" t="s">
        <v>54</v>
      </c>
      <c r="B9" t="s">
        <v>44</v>
      </c>
      <c r="C9" t="s">
        <v>55</v>
      </c>
      <c r="D9" t="s">
        <v>56</v>
      </c>
    </row>
    <row r="10" spans="1:8" x14ac:dyDescent="0.3">
      <c r="A10" t="s">
        <v>98</v>
      </c>
      <c r="B10" t="s">
        <v>99</v>
      </c>
      <c r="C10" t="s">
        <v>39</v>
      </c>
      <c r="F10" t="s">
        <v>103</v>
      </c>
    </row>
    <row r="11" spans="1:8" x14ac:dyDescent="0.3">
      <c r="A11" t="s">
        <v>100</v>
      </c>
      <c r="B11" t="s">
        <v>57</v>
      </c>
      <c r="C11" t="s">
        <v>101</v>
      </c>
      <c r="D11" t="s">
        <v>102</v>
      </c>
      <c r="E11" t="s">
        <v>57</v>
      </c>
      <c r="F11" t="s">
        <v>22</v>
      </c>
      <c r="G11" t="s">
        <v>23</v>
      </c>
      <c r="H11" s="15"/>
    </row>
    <row r="12" spans="1:8" x14ac:dyDescent="0.3">
      <c r="A12">
        <v>0</v>
      </c>
      <c r="B12" t="s">
        <v>57</v>
      </c>
      <c r="C12" t="s">
        <v>58</v>
      </c>
      <c r="D12" t="s">
        <v>96</v>
      </c>
      <c r="E12" t="s">
        <v>57</v>
      </c>
      <c r="F12" t="s">
        <v>60</v>
      </c>
      <c r="G12" t="s">
        <v>97</v>
      </c>
    </row>
    <row r="13" spans="1:8" x14ac:dyDescent="0.3">
      <c r="A13">
        <v>1</v>
      </c>
      <c r="B13" t="s">
        <v>57</v>
      </c>
      <c r="C13" t="s">
        <v>62</v>
      </c>
      <c r="D13" t="s">
        <v>96</v>
      </c>
      <c r="E13" t="s">
        <v>57</v>
      </c>
      <c r="F13" t="s">
        <v>63</v>
      </c>
      <c r="G13" t="s">
        <v>97</v>
      </c>
    </row>
    <row r="14" spans="1:8" x14ac:dyDescent="0.3">
      <c r="A14">
        <v>2</v>
      </c>
      <c r="B14" t="s">
        <v>57</v>
      </c>
      <c r="C14" t="s">
        <v>64</v>
      </c>
      <c r="D14" t="s">
        <v>96</v>
      </c>
      <c r="E14" t="s">
        <v>57</v>
      </c>
      <c r="F14" t="s">
        <v>65</v>
      </c>
      <c r="G14" t="s">
        <v>97</v>
      </c>
    </row>
    <row r="15" spans="1:8" x14ac:dyDescent="0.3">
      <c r="A15">
        <v>3</v>
      </c>
      <c r="B15" t="s">
        <v>57</v>
      </c>
      <c r="C15" t="s">
        <v>66</v>
      </c>
      <c r="D15" t="s">
        <v>96</v>
      </c>
      <c r="E15" t="s">
        <v>57</v>
      </c>
      <c r="F15" t="s">
        <v>67</v>
      </c>
      <c r="G15" t="s">
        <v>97</v>
      </c>
    </row>
    <row r="16" spans="1:8" x14ac:dyDescent="0.3">
      <c r="A16">
        <v>4</v>
      </c>
      <c r="B16" t="s">
        <v>57</v>
      </c>
      <c r="C16" t="s">
        <v>68</v>
      </c>
      <c r="D16" t="s">
        <v>96</v>
      </c>
      <c r="E16" t="s">
        <v>57</v>
      </c>
      <c r="F16" t="s">
        <v>69</v>
      </c>
      <c r="G16" t="s">
        <v>97</v>
      </c>
    </row>
    <row r="17" spans="1:7" x14ac:dyDescent="0.3">
      <c r="A17">
        <v>5</v>
      </c>
      <c r="B17" t="s">
        <v>57</v>
      </c>
      <c r="C17" t="s">
        <v>70</v>
      </c>
      <c r="D17" t="s">
        <v>96</v>
      </c>
      <c r="E17" t="s">
        <v>57</v>
      </c>
      <c r="F17" t="s">
        <v>71</v>
      </c>
      <c r="G17" t="s">
        <v>97</v>
      </c>
    </row>
    <row r="18" spans="1:7" x14ac:dyDescent="0.3">
      <c r="A18">
        <v>6</v>
      </c>
      <c r="B18" t="s">
        <v>57</v>
      </c>
      <c r="C18" t="s">
        <v>72</v>
      </c>
      <c r="D18" t="s">
        <v>96</v>
      </c>
      <c r="E18" t="s">
        <v>57</v>
      </c>
      <c r="F18" t="s">
        <v>73</v>
      </c>
      <c r="G18" t="s">
        <v>97</v>
      </c>
    </row>
    <row r="19" spans="1:7" x14ac:dyDescent="0.3">
      <c r="A19">
        <v>7</v>
      </c>
      <c r="B19" t="s">
        <v>57</v>
      </c>
      <c r="C19" t="s">
        <v>74</v>
      </c>
      <c r="D19" t="s">
        <v>96</v>
      </c>
      <c r="E19" t="s">
        <v>57</v>
      </c>
      <c r="F19" t="s">
        <v>75</v>
      </c>
      <c r="G19" t="s">
        <v>97</v>
      </c>
    </row>
    <row r="20" spans="1:7" x14ac:dyDescent="0.3">
      <c r="A20">
        <v>8</v>
      </c>
      <c r="B20" t="s">
        <v>57</v>
      </c>
      <c r="C20" t="s">
        <v>76</v>
      </c>
      <c r="D20" t="s">
        <v>96</v>
      </c>
      <c r="E20" t="s">
        <v>57</v>
      </c>
      <c r="F20" t="s">
        <v>77</v>
      </c>
      <c r="G20" t="s">
        <v>97</v>
      </c>
    </row>
    <row r="21" spans="1:7" x14ac:dyDescent="0.3">
      <c r="A21">
        <v>9</v>
      </c>
      <c r="B21" t="s">
        <v>57</v>
      </c>
      <c r="C21" t="s">
        <v>78</v>
      </c>
      <c r="D21" t="s">
        <v>96</v>
      </c>
      <c r="E21" t="s">
        <v>57</v>
      </c>
      <c r="F21" t="s">
        <v>79</v>
      </c>
      <c r="G21" t="s">
        <v>97</v>
      </c>
    </row>
    <row r="22" spans="1:7" x14ac:dyDescent="0.3">
      <c r="A22">
        <v>10</v>
      </c>
      <c r="B22" t="s">
        <v>57</v>
      </c>
      <c r="C22" t="s">
        <v>78</v>
      </c>
      <c r="D22" t="s">
        <v>94</v>
      </c>
      <c r="E22" t="s">
        <v>57</v>
      </c>
      <c r="F22" t="s">
        <v>79</v>
      </c>
      <c r="G22" t="s">
        <v>95</v>
      </c>
    </row>
    <row r="23" spans="1:7" x14ac:dyDescent="0.3">
      <c r="A23">
        <v>11</v>
      </c>
      <c r="B23" t="s">
        <v>57</v>
      </c>
      <c r="C23" t="s">
        <v>76</v>
      </c>
      <c r="D23" t="s">
        <v>94</v>
      </c>
      <c r="E23" t="s">
        <v>57</v>
      </c>
      <c r="F23" t="s">
        <v>77</v>
      </c>
      <c r="G23" t="s">
        <v>95</v>
      </c>
    </row>
    <row r="24" spans="1:7" x14ac:dyDescent="0.3">
      <c r="A24">
        <v>12</v>
      </c>
      <c r="B24" t="s">
        <v>57</v>
      </c>
      <c r="C24" t="s">
        <v>74</v>
      </c>
      <c r="D24" t="s">
        <v>94</v>
      </c>
      <c r="E24" t="s">
        <v>57</v>
      </c>
      <c r="F24" t="s">
        <v>75</v>
      </c>
      <c r="G24" t="s">
        <v>95</v>
      </c>
    </row>
    <row r="25" spans="1:7" x14ac:dyDescent="0.3">
      <c r="A25">
        <v>13</v>
      </c>
      <c r="B25" t="s">
        <v>57</v>
      </c>
      <c r="C25" t="s">
        <v>72</v>
      </c>
      <c r="D25" t="s">
        <v>94</v>
      </c>
      <c r="E25" t="s">
        <v>57</v>
      </c>
      <c r="F25" t="s">
        <v>73</v>
      </c>
      <c r="G25" t="s">
        <v>95</v>
      </c>
    </row>
    <row r="26" spans="1:7" x14ac:dyDescent="0.3">
      <c r="A26">
        <v>14</v>
      </c>
      <c r="B26" t="s">
        <v>57</v>
      </c>
      <c r="C26" t="s">
        <v>70</v>
      </c>
      <c r="D26" t="s">
        <v>94</v>
      </c>
      <c r="E26" t="s">
        <v>57</v>
      </c>
      <c r="F26" t="s">
        <v>71</v>
      </c>
      <c r="G26" t="s">
        <v>95</v>
      </c>
    </row>
    <row r="27" spans="1:7" x14ac:dyDescent="0.3">
      <c r="A27">
        <v>15</v>
      </c>
      <c r="B27" t="s">
        <v>57</v>
      </c>
      <c r="C27" t="s">
        <v>68</v>
      </c>
      <c r="D27" t="s">
        <v>94</v>
      </c>
      <c r="E27" t="s">
        <v>57</v>
      </c>
      <c r="F27" t="s">
        <v>69</v>
      </c>
      <c r="G27" t="s">
        <v>95</v>
      </c>
    </row>
    <row r="28" spans="1:7" x14ac:dyDescent="0.3">
      <c r="A28">
        <v>16</v>
      </c>
      <c r="B28" t="s">
        <v>57</v>
      </c>
      <c r="C28" t="s">
        <v>66</v>
      </c>
      <c r="D28" t="s">
        <v>94</v>
      </c>
      <c r="E28" t="s">
        <v>57</v>
      </c>
      <c r="F28" t="s">
        <v>67</v>
      </c>
      <c r="G28" t="s">
        <v>95</v>
      </c>
    </row>
    <row r="29" spans="1:7" x14ac:dyDescent="0.3">
      <c r="A29">
        <v>17</v>
      </c>
      <c r="B29" t="s">
        <v>57</v>
      </c>
      <c r="C29" t="s">
        <v>64</v>
      </c>
      <c r="D29" t="s">
        <v>94</v>
      </c>
      <c r="E29" t="s">
        <v>57</v>
      </c>
      <c r="F29" t="s">
        <v>65</v>
      </c>
      <c r="G29" t="s">
        <v>95</v>
      </c>
    </row>
    <row r="30" spans="1:7" x14ac:dyDescent="0.3">
      <c r="A30">
        <v>18</v>
      </c>
      <c r="B30" t="s">
        <v>57</v>
      </c>
      <c r="C30" t="s">
        <v>62</v>
      </c>
      <c r="D30" t="s">
        <v>94</v>
      </c>
      <c r="E30" t="s">
        <v>57</v>
      </c>
      <c r="F30" t="s">
        <v>63</v>
      </c>
      <c r="G30" t="s">
        <v>95</v>
      </c>
    </row>
    <row r="31" spans="1:7" x14ac:dyDescent="0.3">
      <c r="A31">
        <v>19</v>
      </c>
      <c r="B31" t="s">
        <v>57</v>
      </c>
      <c r="C31" t="s">
        <v>58</v>
      </c>
      <c r="D31" t="s">
        <v>94</v>
      </c>
      <c r="E31" t="s">
        <v>57</v>
      </c>
      <c r="F31" t="s">
        <v>60</v>
      </c>
      <c r="G31" t="s">
        <v>95</v>
      </c>
    </row>
    <row r="32" spans="1:7" x14ac:dyDescent="0.3">
      <c r="A32">
        <v>20</v>
      </c>
      <c r="B32" t="s">
        <v>57</v>
      </c>
      <c r="C32" t="s">
        <v>58</v>
      </c>
      <c r="D32" t="s">
        <v>92</v>
      </c>
      <c r="E32" t="s">
        <v>57</v>
      </c>
      <c r="F32" t="s">
        <v>60</v>
      </c>
      <c r="G32" t="s">
        <v>93</v>
      </c>
    </row>
    <row r="33" spans="1:7" x14ac:dyDescent="0.3">
      <c r="A33">
        <v>21</v>
      </c>
      <c r="B33" t="s">
        <v>57</v>
      </c>
      <c r="C33" t="s">
        <v>62</v>
      </c>
      <c r="D33" t="s">
        <v>92</v>
      </c>
      <c r="E33" t="s">
        <v>57</v>
      </c>
      <c r="F33" t="s">
        <v>63</v>
      </c>
      <c r="G33" t="s">
        <v>93</v>
      </c>
    </row>
    <row r="34" spans="1:7" x14ac:dyDescent="0.3">
      <c r="A34">
        <v>22</v>
      </c>
      <c r="B34" t="s">
        <v>57</v>
      </c>
      <c r="C34" t="s">
        <v>64</v>
      </c>
      <c r="D34" t="s">
        <v>92</v>
      </c>
      <c r="E34" t="s">
        <v>57</v>
      </c>
      <c r="F34" t="s">
        <v>65</v>
      </c>
      <c r="G34" t="s">
        <v>93</v>
      </c>
    </row>
    <row r="35" spans="1:7" x14ac:dyDescent="0.3">
      <c r="A35">
        <v>23</v>
      </c>
      <c r="B35" t="s">
        <v>57</v>
      </c>
      <c r="C35" t="s">
        <v>66</v>
      </c>
      <c r="D35" t="s">
        <v>92</v>
      </c>
      <c r="E35" t="s">
        <v>57</v>
      </c>
      <c r="F35" t="s">
        <v>67</v>
      </c>
      <c r="G35" t="s">
        <v>93</v>
      </c>
    </row>
    <row r="36" spans="1:7" x14ac:dyDescent="0.3">
      <c r="A36">
        <v>24</v>
      </c>
      <c r="B36" t="s">
        <v>57</v>
      </c>
      <c r="C36" t="s">
        <v>68</v>
      </c>
      <c r="D36" t="s">
        <v>92</v>
      </c>
      <c r="E36" t="s">
        <v>57</v>
      </c>
      <c r="F36" t="s">
        <v>69</v>
      </c>
      <c r="G36" t="s">
        <v>93</v>
      </c>
    </row>
    <row r="37" spans="1:7" x14ac:dyDescent="0.3">
      <c r="A37">
        <v>25</v>
      </c>
      <c r="B37" t="s">
        <v>57</v>
      </c>
      <c r="C37" t="s">
        <v>70</v>
      </c>
      <c r="D37" t="s">
        <v>92</v>
      </c>
      <c r="E37" t="s">
        <v>57</v>
      </c>
      <c r="F37" t="s">
        <v>71</v>
      </c>
      <c r="G37" t="s">
        <v>93</v>
      </c>
    </row>
    <row r="38" spans="1:7" x14ac:dyDescent="0.3">
      <c r="A38">
        <v>26</v>
      </c>
      <c r="B38" t="s">
        <v>57</v>
      </c>
      <c r="C38" t="s">
        <v>72</v>
      </c>
      <c r="D38" t="s">
        <v>92</v>
      </c>
      <c r="E38" t="s">
        <v>57</v>
      </c>
      <c r="F38" t="s">
        <v>73</v>
      </c>
      <c r="G38" t="s">
        <v>93</v>
      </c>
    </row>
    <row r="39" spans="1:7" x14ac:dyDescent="0.3">
      <c r="A39">
        <v>27</v>
      </c>
      <c r="B39" t="s">
        <v>57</v>
      </c>
      <c r="C39" t="s">
        <v>74</v>
      </c>
      <c r="D39" t="s">
        <v>92</v>
      </c>
      <c r="E39" t="s">
        <v>57</v>
      </c>
      <c r="F39" t="s">
        <v>75</v>
      </c>
      <c r="G39" t="s">
        <v>93</v>
      </c>
    </row>
    <row r="40" spans="1:7" x14ac:dyDescent="0.3">
      <c r="A40">
        <v>28</v>
      </c>
      <c r="B40" t="s">
        <v>57</v>
      </c>
      <c r="C40" t="s">
        <v>76</v>
      </c>
      <c r="D40" t="s">
        <v>92</v>
      </c>
      <c r="E40" t="s">
        <v>57</v>
      </c>
      <c r="F40" t="s">
        <v>77</v>
      </c>
      <c r="G40" t="s">
        <v>93</v>
      </c>
    </row>
    <row r="41" spans="1:7" x14ac:dyDescent="0.3">
      <c r="A41">
        <v>29</v>
      </c>
      <c r="B41" t="s">
        <v>57</v>
      </c>
      <c r="C41" t="s">
        <v>78</v>
      </c>
      <c r="D41" t="s">
        <v>92</v>
      </c>
      <c r="E41" t="s">
        <v>57</v>
      </c>
      <c r="F41" t="s">
        <v>79</v>
      </c>
      <c r="G41" t="s">
        <v>93</v>
      </c>
    </row>
    <row r="42" spans="1:7" x14ac:dyDescent="0.3">
      <c r="A42">
        <v>30</v>
      </c>
      <c r="B42" t="s">
        <v>57</v>
      </c>
      <c r="C42" t="s">
        <v>78</v>
      </c>
      <c r="D42" t="s">
        <v>90</v>
      </c>
      <c r="E42" t="s">
        <v>57</v>
      </c>
      <c r="F42" t="s">
        <v>79</v>
      </c>
      <c r="G42" t="s">
        <v>91</v>
      </c>
    </row>
    <row r="43" spans="1:7" x14ac:dyDescent="0.3">
      <c r="A43">
        <v>31</v>
      </c>
      <c r="B43" t="s">
        <v>57</v>
      </c>
      <c r="C43" t="s">
        <v>76</v>
      </c>
      <c r="D43" t="s">
        <v>90</v>
      </c>
      <c r="E43" t="s">
        <v>57</v>
      </c>
      <c r="F43" t="s">
        <v>77</v>
      </c>
      <c r="G43" t="s">
        <v>91</v>
      </c>
    </row>
    <row r="44" spans="1:7" x14ac:dyDescent="0.3">
      <c r="A44">
        <v>32</v>
      </c>
      <c r="B44" t="s">
        <v>57</v>
      </c>
      <c r="C44" t="s">
        <v>74</v>
      </c>
      <c r="D44" t="s">
        <v>90</v>
      </c>
      <c r="E44" t="s">
        <v>57</v>
      </c>
      <c r="F44" t="s">
        <v>75</v>
      </c>
      <c r="G44" t="s">
        <v>91</v>
      </c>
    </row>
    <row r="45" spans="1:7" x14ac:dyDescent="0.3">
      <c r="A45">
        <v>33</v>
      </c>
      <c r="B45" t="s">
        <v>57</v>
      </c>
      <c r="C45" t="s">
        <v>72</v>
      </c>
      <c r="D45" t="s">
        <v>90</v>
      </c>
      <c r="E45" t="s">
        <v>57</v>
      </c>
      <c r="F45" t="s">
        <v>73</v>
      </c>
      <c r="G45" t="s">
        <v>91</v>
      </c>
    </row>
    <row r="46" spans="1:7" x14ac:dyDescent="0.3">
      <c r="A46">
        <v>34</v>
      </c>
      <c r="B46" t="s">
        <v>57</v>
      </c>
      <c r="C46" t="s">
        <v>70</v>
      </c>
      <c r="D46" t="s">
        <v>90</v>
      </c>
      <c r="E46" t="s">
        <v>57</v>
      </c>
      <c r="F46" t="s">
        <v>71</v>
      </c>
      <c r="G46" t="s">
        <v>91</v>
      </c>
    </row>
    <row r="47" spans="1:7" x14ac:dyDescent="0.3">
      <c r="A47">
        <v>35</v>
      </c>
      <c r="B47" t="s">
        <v>57</v>
      </c>
      <c r="C47" t="s">
        <v>68</v>
      </c>
      <c r="D47" t="s">
        <v>90</v>
      </c>
      <c r="E47" t="s">
        <v>57</v>
      </c>
      <c r="F47" t="s">
        <v>69</v>
      </c>
      <c r="G47" t="s">
        <v>91</v>
      </c>
    </row>
    <row r="48" spans="1:7" x14ac:dyDescent="0.3">
      <c r="A48">
        <v>36</v>
      </c>
      <c r="B48" t="s">
        <v>57</v>
      </c>
      <c r="C48" t="s">
        <v>66</v>
      </c>
      <c r="D48" t="s">
        <v>90</v>
      </c>
      <c r="E48" t="s">
        <v>57</v>
      </c>
      <c r="F48" t="s">
        <v>67</v>
      </c>
      <c r="G48" t="s">
        <v>91</v>
      </c>
    </row>
    <row r="49" spans="1:7" x14ac:dyDescent="0.3">
      <c r="A49">
        <v>37</v>
      </c>
      <c r="B49" t="s">
        <v>57</v>
      </c>
      <c r="C49" t="s">
        <v>64</v>
      </c>
      <c r="D49" t="s">
        <v>90</v>
      </c>
      <c r="E49" t="s">
        <v>57</v>
      </c>
      <c r="F49" t="s">
        <v>65</v>
      </c>
      <c r="G49" t="s">
        <v>91</v>
      </c>
    </row>
    <row r="50" spans="1:7" x14ac:dyDescent="0.3">
      <c r="A50">
        <v>38</v>
      </c>
      <c r="B50" t="s">
        <v>57</v>
      </c>
      <c r="C50" t="s">
        <v>62</v>
      </c>
      <c r="D50" t="s">
        <v>90</v>
      </c>
      <c r="E50" t="s">
        <v>57</v>
      </c>
      <c r="F50" t="s">
        <v>63</v>
      </c>
      <c r="G50" t="s">
        <v>91</v>
      </c>
    </row>
    <row r="51" spans="1:7" x14ac:dyDescent="0.3">
      <c r="A51">
        <v>39</v>
      </c>
      <c r="B51" t="s">
        <v>57</v>
      </c>
      <c r="C51" t="s">
        <v>58</v>
      </c>
      <c r="D51" t="s">
        <v>90</v>
      </c>
      <c r="E51" t="s">
        <v>57</v>
      </c>
      <c r="F51" t="s">
        <v>60</v>
      </c>
      <c r="G51" t="s">
        <v>91</v>
      </c>
    </row>
    <row r="52" spans="1:7" x14ac:dyDescent="0.3">
      <c r="A52">
        <v>40</v>
      </c>
      <c r="B52" t="s">
        <v>57</v>
      </c>
      <c r="C52" t="s">
        <v>58</v>
      </c>
      <c r="D52" t="s">
        <v>88</v>
      </c>
      <c r="E52" t="s">
        <v>57</v>
      </c>
      <c r="F52" t="s">
        <v>60</v>
      </c>
      <c r="G52" t="s">
        <v>89</v>
      </c>
    </row>
    <row r="53" spans="1:7" x14ac:dyDescent="0.3">
      <c r="A53">
        <v>41</v>
      </c>
      <c r="B53" t="s">
        <v>57</v>
      </c>
      <c r="C53" t="s">
        <v>62</v>
      </c>
      <c r="D53" t="s">
        <v>88</v>
      </c>
      <c r="E53" t="s">
        <v>57</v>
      </c>
      <c r="F53" t="s">
        <v>63</v>
      </c>
      <c r="G53" t="s">
        <v>89</v>
      </c>
    </row>
    <row r="54" spans="1:7" x14ac:dyDescent="0.3">
      <c r="A54">
        <v>42</v>
      </c>
      <c r="B54" t="s">
        <v>57</v>
      </c>
      <c r="C54" t="s">
        <v>64</v>
      </c>
      <c r="D54" t="s">
        <v>88</v>
      </c>
      <c r="E54" t="s">
        <v>57</v>
      </c>
      <c r="F54" t="s">
        <v>65</v>
      </c>
      <c r="G54" t="s">
        <v>89</v>
      </c>
    </row>
    <row r="55" spans="1:7" x14ac:dyDescent="0.3">
      <c r="A55">
        <v>43</v>
      </c>
      <c r="B55" t="s">
        <v>57</v>
      </c>
      <c r="C55" t="s">
        <v>66</v>
      </c>
      <c r="D55" t="s">
        <v>88</v>
      </c>
      <c r="E55" t="s">
        <v>57</v>
      </c>
      <c r="F55" t="s">
        <v>67</v>
      </c>
      <c r="G55" t="s">
        <v>89</v>
      </c>
    </row>
    <row r="56" spans="1:7" x14ac:dyDescent="0.3">
      <c r="A56">
        <v>44</v>
      </c>
      <c r="B56" t="s">
        <v>57</v>
      </c>
      <c r="C56" t="s">
        <v>68</v>
      </c>
      <c r="D56" t="s">
        <v>88</v>
      </c>
      <c r="E56" t="s">
        <v>57</v>
      </c>
      <c r="F56" t="s">
        <v>69</v>
      </c>
      <c r="G56" t="s">
        <v>89</v>
      </c>
    </row>
    <row r="57" spans="1:7" x14ac:dyDescent="0.3">
      <c r="A57">
        <v>45</v>
      </c>
      <c r="B57" t="s">
        <v>57</v>
      </c>
      <c r="C57" t="s">
        <v>70</v>
      </c>
      <c r="D57" t="s">
        <v>88</v>
      </c>
      <c r="E57" t="s">
        <v>57</v>
      </c>
      <c r="F57" t="s">
        <v>71</v>
      </c>
      <c r="G57" t="s">
        <v>89</v>
      </c>
    </row>
    <row r="58" spans="1:7" x14ac:dyDescent="0.3">
      <c r="A58">
        <v>46</v>
      </c>
      <c r="B58" t="s">
        <v>57</v>
      </c>
      <c r="C58" t="s">
        <v>72</v>
      </c>
      <c r="D58" t="s">
        <v>88</v>
      </c>
      <c r="E58" t="s">
        <v>57</v>
      </c>
      <c r="F58" t="s">
        <v>73</v>
      </c>
      <c r="G58" t="s">
        <v>89</v>
      </c>
    </row>
    <row r="59" spans="1:7" x14ac:dyDescent="0.3">
      <c r="A59">
        <v>47</v>
      </c>
      <c r="B59" t="s">
        <v>57</v>
      </c>
      <c r="C59" t="s">
        <v>74</v>
      </c>
      <c r="D59" t="s">
        <v>88</v>
      </c>
      <c r="E59" t="s">
        <v>57</v>
      </c>
      <c r="F59" t="s">
        <v>75</v>
      </c>
      <c r="G59" t="s">
        <v>89</v>
      </c>
    </row>
    <row r="60" spans="1:7" x14ac:dyDescent="0.3">
      <c r="A60">
        <v>48</v>
      </c>
      <c r="B60" t="s">
        <v>57</v>
      </c>
      <c r="C60" t="s">
        <v>76</v>
      </c>
      <c r="D60" t="s">
        <v>88</v>
      </c>
      <c r="E60" t="s">
        <v>57</v>
      </c>
      <c r="F60" t="s">
        <v>77</v>
      </c>
      <c r="G60" t="s">
        <v>89</v>
      </c>
    </row>
    <row r="61" spans="1:7" x14ac:dyDescent="0.3">
      <c r="A61">
        <v>49</v>
      </c>
      <c r="B61" t="s">
        <v>57</v>
      </c>
      <c r="C61" t="s">
        <v>78</v>
      </c>
      <c r="D61" t="s">
        <v>88</v>
      </c>
      <c r="E61" t="s">
        <v>57</v>
      </c>
      <c r="F61" t="s">
        <v>79</v>
      </c>
      <c r="G61" t="s">
        <v>89</v>
      </c>
    </row>
    <row r="62" spans="1:7" x14ac:dyDescent="0.3">
      <c r="A62">
        <v>50</v>
      </c>
      <c r="B62" t="s">
        <v>57</v>
      </c>
      <c r="C62" t="s">
        <v>78</v>
      </c>
      <c r="D62" t="s">
        <v>86</v>
      </c>
      <c r="E62" t="s">
        <v>57</v>
      </c>
      <c r="F62" t="s">
        <v>79</v>
      </c>
      <c r="G62" t="s">
        <v>87</v>
      </c>
    </row>
    <row r="63" spans="1:7" x14ac:dyDescent="0.3">
      <c r="A63">
        <v>51</v>
      </c>
      <c r="B63" t="s">
        <v>57</v>
      </c>
      <c r="C63" t="s">
        <v>76</v>
      </c>
      <c r="D63" t="s">
        <v>86</v>
      </c>
      <c r="E63" t="s">
        <v>57</v>
      </c>
      <c r="F63" t="s">
        <v>77</v>
      </c>
      <c r="G63" t="s">
        <v>87</v>
      </c>
    </row>
    <row r="64" spans="1:7" x14ac:dyDescent="0.3">
      <c r="A64">
        <v>52</v>
      </c>
      <c r="B64" t="s">
        <v>57</v>
      </c>
      <c r="C64" t="s">
        <v>74</v>
      </c>
      <c r="D64" t="s">
        <v>86</v>
      </c>
      <c r="E64" t="s">
        <v>57</v>
      </c>
      <c r="F64" t="s">
        <v>75</v>
      </c>
      <c r="G64" t="s">
        <v>87</v>
      </c>
    </row>
    <row r="65" spans="1:7" x14ac:dyDescent="0.3">
      <c r="A65">
        <v>53</v>
      </c>
      <c r="B65" t="s">
        <v>57</v>
      </c>
      <c r="C65" t="s">
        <v>72</v>
      </c>
      <c r="D65" t="s">
        <v>86</v>
      </c>
      <c r="E65" t="s">
        <v>57</v>
      </c>
      <c r="F65" t="s">
        <v>73</v>
      </c>
      <c r="G65" t="s">
        <v>87</v>
      </c>
    </row>
    <row r="66" spans="1:7" x14ac:dyDescent="0.3">
      <c r="A66">
        <v>54</v>
      </c>
      <c r="B66" t="s">
        <v>57</v>
      </c>
      <c r="C66" t="s">
        <v>70</v>
      </c>
      <c r="D66" t="s">
        <v>86</v>
      </c>
      <c r="E66" t="s">
        <v>57</v>
      </c>
      <c r="F66" t="s">
        <v>71</v>
      </c>
      <c r="G66" t="s">
        <v>87</v>
      </c>
    </row>
    <row r="67" spans="1:7" x14ac:dyDescent="0.3">
      <c r="A67">
        <v>55</v>
      </c>
      <c r="B67" t="s">
        <v>57</v>
      </c>
      <c r="C67" t="s">
        <v>68</v>
      </c>
      <c r="D67" t="s">
        <v>86</v>
      </c>
      <c r="E67" t="s">
        <v>57</v>
      </c>
      <c r="F67" t="s">
        <v>69</v>
      </c>
      <c r="G67" t="s">
        <v>87</v>
      </c>
    </row>
    <row r="68" spans="1:7" x14ac:dyDescent="0.3">
      <c r="A68">
        <v>56</v>
      </c>
      <c r="B68" t="s">
        <v>57</v>
      </c>
      <c r="C68" t="s">
        <v>66</v>
      </c>
      <c r="D68" t="s">
        <v>86</v>
      </c>
      <c r="E68" t="s">
        <v>57</v>
      </c>
      <c r="F68" t="s">
        <v>67</v>
      </c>
      <c r="G68" t="s">
        <v>87</v>
      </c>
    </row>
    <row r="69" spans="1:7" x14ac:dyDescent="0.3">
      <c r="A69">
        <v>57</v>
      </c>
      <c r="B69" t="s">
        <v>57</v>
      </c>
      <c r="C69" t="s">
        <v>64</v>
      </c>
      <c r="D69" t="s">
        <v>86</v>
      </c>
      <c r="E69" t="s">
        <v>57</v>
      </c>
      <c r="F69" t="s">
        <v>65</v>
      </c>
      <c r="G69" t="s">
        <v>87</v>
      </c>
    </row>
    <row r="70" spans="1:7" x14ac:dyDescent="0.3">
      <c r="A70">
        <v>58</v>
      </c>
      <c r="B70" t="s">
        <v>57</v>
      </c>
      <c r="C70" t="s">
        <v>62</v>
      </c>
      <c r="D70" t="s">
        <v>86</v>
      </c>
      <c r="E70" t="s">
        <v>57</v>
      </c>
      <c r="F70" t="s">
        <v>63</v>
      </c>
      <c r="G70" t="s">
        <v>87</v>
      </c>
    </row>
    <row r="71" spans="1:7" x14ac:dyDescent="0.3">
      <c r="A71">
        <v>59</v>
      </c>
      <c r="B71" t="s">
        <v>57</v>
      </c>
      <c r="C71" t="s">
        <v>58</v>
      </c>
      <c r="D71" t="s">
        <v>86</v>
      </c>
      <c r="E71" t="s">
        <v>57</v>
      </c>
      <c r="F71" t="s">
        <v>60</v>
      </c>
      <c r="G71" t="s">
        <v>87</v>
      </c>
    </row>
    <row r="72" spans="1:7" x14ac:dyDescent="0.3">
      <c r="A72">
        <v>60</v>
      </c>
      <c r="B72" t="s">
        <v>57</v>
      </c>
      <c r="C72" t="s">
        <v>58</v>
      </c>
      <c r="D72" t="s">
        <v>84</v>
      </c>
      <c r="E72" t="s">
        <v>57</v>
      </c>
      <c r="F72" t="s">
        <v>60</v>
      </c>
      <c r="G72" t="s">
        <v>85</v>
      </c>
    </row>
    <row r="73" spans="1:7" x14ac:dyDescent="0.3">
      <c r="A73">
        <v>61</v>
      </c>
      <c r="B73" t="s">
        <v>57</v>
      </c>
      <c r="C73" t="s">
        <v>62</v>
      </c>
      <c r="D73" t="s">
        <v>84</v>
      </c>
      <c r="E73" t="s">
        <v>57</v>
      </c>
      <c r="F73" t="s">
        <v>63</v>
      </c>
      <c r="G73" t="s">
        <v>85</v>
      </c>
    </row>
    <row r="74" spans="1:7" x14ac:dyDescent="0.3">
      <c r="A74">
        <v>62</v>
      </c>
      <c r="B74" t="s">
        <v>57</v>
      </c>
      <c r="C74" t="s">
        <v>64</v>
      </c>
      <c r="D74" t="s">
        <v>84</v>
      </c>
      <c r="E74" t="s">
        <v>57</v>
      </c>
      <c r="F74" t="s">
        <v>65</v>
      </c>
      <c r="G74" t="s">
        <v>85</v>
      </c>
    </row>
    <row r="75" spans="1:7" x14ac:dyDescent="0.3">
      <c r="A75">
        <v>63</v>
      </c>
      <c r="B75" t="s">
        <v>57</v>
      </c>
      <c r="C75" t="s">
        <v>66</v>
      </c>
      <c r="D75" t="s">
        <v>84</v>
      </c>
      <c r="E75" t="s">
        <v>57</v>
      </c>
      <c r="F75" t="s">
        <v>67</v>
      </c>
      <c r="G75" t="s">
        <v>85</v>
      </c>
    </row>
    <row r="76" spans="1:7" x14ac:dyDescent="0.3">
      <c r="A76">
        <v>64</v>
      </c>
      <c r="B76" t="s">
        <v>57</v>
      </c>
      <c r="C76" t="s">
        <v>68</v>
      </c>
      <c r="D76" t="s">
        <v>84</v>
      </c>
      <c r="E76" t="s">
        <v>57</v>
      </c>
      <c r="F76" t="s">
        <v>69</v>
      </c>
      <c r="G76" t="s">
        <v>85</v>
      </c>
    </row>
    <row r="77" spans="1:7" x14ac:dyDescent="0.3">
      <c r="A77">
        <v>65</v>
      </c>
      <c r="B77" t="s">
        <v>57</v>
      </c>
      <c r="C77" t="s">
        <v>70</v>
      </c>
      <c r="D77" t="s">
        <v>84</v>
      </c>
      <c r="E77" t="s">
        <v>57</v>
      </c>
      <c r="F77" t="s">
        <v>71</v>
      </c>
      <c r="G77" t="s">
        <v>85</v>
      </c>
    </row>
    <row r="78" spans="1:7" x14ac:dyDescent="0.3">
      <c r="A78">
        <v>66</v>
      </c>
      <c r="B78" t="s">
        <v>57</v>
      </c>
      <c r="C78" t="s">
        <v>72</v>
      </c>
      <c r="D78" t="s">
        <v>84</v>
      </c>
      <c r="E78" t="s">
        <v>57</v>
      </c>
      <c r="F78" t="s">
        <v>73</v>
      </c>
      <c r="G78" t="s">
        <v>85</v>
      </c>
    </row>
    <row r="79" spans="1:7" x14ac:dyDescent="0.3">
      <c r="A79">
        <v>67</v>
      </c>
      <c r="B79" t="s">
        <v>57</v>
      </c>
      <c r="C79" t="s">
        <v>74</v>
      </c>
      <c r="D79" t="s">
        <v>84</v>
      </c>
      <c r="E79" t="s">
        <v>57</v>
      </c>
      <c r="F79" t="s">
        <v>75</v>
      </c>
      <c r="G79" t="s">
        <v>85</v>
      </c>
    </row>
    <row r="80" spans="1:7" x14ac:dyDescent="0.3">
      <c r="A80">
        <v>68</v>
      </c>
      <c r="B80" t="s">
        <v>57</v>
      </c>
      <c r="C80" t="s">
        <v>76</v>
      </c>
      <c r="D80" t="s">
        <v>84</v>
      </c>
      <c r="E80" t="s">
        <v>57</v>
      </c>
      <c r="F80" t="s">
        <v>77</v>
      </c>
      <c r="G80" t="s">
        <v>85</v>
      </c>
    </row>
    <row r="81" spans="1:7" x14ac:dyDescent="0.3">
      <c r="A81">
        <v>69</v>
      </c>
      <c r="B81" t="s">
        <v>57</v>
      </c>
      <c r="C81" t="s">
        <v>78</v>
      </c>
      <c r="D81" t="s">
        <v>84</v>
      </c>
      <c r="E81" t="s">
        <v>57</v>
      </c>
      <c r="F81" t="s">
        <v>79</v>
      </c>
      <c r="G81" t="s">
        <v>85</v>
      </c>
    </row>
    <row r="82" spans="1:7" x14ac:dyDescent="0.3">
      <c r="A82">
        <v>70</v>
      </c>
      <c r="B82" t="s">
        <v>57</v>
      </c>
      <c r="C82" t="s">
        <v>78</v>
      </c>
      <c r="D82" t="s">
        <v>82</v>
      </c>
      <c r="E82" t="s">
        <v>57</v>
      </c>
      <c r="F82" t="s">
        <v>79</v>
      </c>
      <c r="G82" t="s">
        <v>83</v>
      </c>
    </row>
    <row r="83" spans="1:7" x14ac:dyDescent="0.3">
      <c r="A83">
        <v>71</v>
      </c>
      <c r="B83" t="s">
        <v>57</v>
      </c>
      <c r="C83" t="s">
        <v>76</v>
      </c>
      <c r="D83" t="s">
        <v>82</v>
      </c>
      <c r="E83" t="s">
        <v>57</v>
      </c>
      <c r="F83" t="s">
        <v>77</v>
      </c>
      <c r="G83" t="s">
        <v>83</v>
      </c>
    </row>
    <row r="84" spans="1:7" x14ac:dyDescent="0.3">
      <c r="A84">
        <v>72</v>
      </c>
      <c r="B84" t="s">
        <v>57</v>
      </c>
      <c r="C84" t="s">
        <v>74</v>
      </c>
      <c r="D84" t="s">
        <v>82</v>
      </c>
      <c r="E84" t="s">
        <v>57</v>
      </c>
      <c r="F84" t="s">
        <v>75</v>
      </c>
      <c r="G84" t="s">
        <v>83</v>
      </c>
    </row>
    <row r="85" spans="1:7" x14ac:dyDescent="0.3">
      <c r="A85">
        <v>73</v>
      </c>
      <c r="B85" t="s">
        <v>57</v>
      </c>
      <c r="C85" t="s">
        <v>72</v>
      </c>
      <c r="D85" t="s">
        <v>82</v>
      </c>
      <c r="E85" t="s">
        <v>57</v>
      </c>
      <c r="F85" t="s">
        <v>73</v>
      </c>
      <c r="G85" t="s">
        <v>83</v>
      </c>
    </row>
    <row r="86" spans="1:7" x14ac:dyDescent="0.3">
      <c r="A86">
        <v>74</v>
      </c>
      <c r="B86" t="s">
        <v>57</v>
      </c>
      <c r="C86" t="s">
        <v>70</v>
      </c>
      <c r="D86" t="s">
        <v>82</v>
      </c>
      <c r="E86" t="s">
        <v>57</v>
      </c>
      <c r="F86" t="s">
        <v>71</v>
      </c>
      <c r="G86" t="s">
        <v>83</v>
      </c>
    </row>
    <row r="87" spans="1:7" x14ac:dyDescent="0.3">
      <c r="A87">
        <v>75</v>
      </c>
      <c r="B87" t="s">
        <v>57</v>
      </c>
      <c r="C87" t="s">
        <v>68</v>
      </c>
      <c r="D87" t="s">
        <v>82</v>
      </c>
      <c r="E87" t="s">
        <v>57</v>
      </c>
      <c r="F87" t="s">
        <v>69</v>
      </c>
      <c r="G87" t="s">
        <v>83</v>
      </c>
    </row>
    <row r="88" spans="1:7" x14ac:dyDescent="0.3">
      <c r="A88">
        <v>76</v>
      </c>
      <c r="B88" t="s">
        <v>57</v>
      </c>
      <c r="C88" t="s">
        <v>66</v>
      </c>
      <c r="D88" t="s">
        <v>82</v>
      </c>
      <c r="E88" t="s">
        <v>57</v>
      </c>
      <c r="F88" t="s">
        <v>67</v>
      </c>
      <c r="G88" t="s">
        <v>83</v>
      </c>
    </row>
    <row r="89" spans="1:7" x14ac:dyDescent="0.3">
      <c r="A89">
        <v>77</v>
      </c>
      <c r="B89" t="s">
        <v>57</v>
      </c>
      <c r="C89" t="s">
        <v>64</v>
      </c>
      <c r="D89" t="s">
        <v>82</v>
      </c>
      <c r="E89" t="s">
        <v>57</v>
      </c>
      <c r="F89" t="s">
        <v>65</v>
      </c>
      <c r="G89" t="s">
        <v>83</v>
      </c>
    </row>
    <row r="90" spans="1:7" x14ac:dyDescent="0.3">
      <c r="A90">
        <v>78</v>
      </c>
      <c r="B90" t="s">
        <v>57</v>
      </c>
      <c r="C90" t="s">
        <v>62</v>
      </c>
      <c r="D90" t="s">
        <v>82</v>
      </c>
      <c r="E90" t="s">
        <v>57</v>
      </c>
      <c r="F90" t="s">
        <v>63</v>
      </c>
      <c r="G90" t="s">
        <v>83</v>
      </c>
    </row>
    <row r="91" spans="1:7" x14ac:dyDescent="0.3">
      <c r="A91">
        <v>79</v>
      </c>
      <c r="B91" t="s">
        <v>57</v>
      </c>
      <c r="C91" t="s">
        <v>58</v>
      </c>
      <c r="D91" t="s">
        <v>82</v>
      </c>
      <c r="E91" t="s">
        <v>57</v>
      </c>
      <c r="F91" t="s">
        <v>60</v>
      </c>
      <c r="G91" t="s">
        <v>83</v>
      </c>
    </row>
    <row r="92" spans="1:7" x14ac:dyDescent="0.3">
      <c r="A92">
        <v>80</v>
      </c>
      <c r="B92" t="s">
        <v>57</v>
      </c>
      <c r="C92" t="s">
        <v>58</v>
      </c>
      <c r="D92" t="s">
        <v>80</v>
      </c>
      <c r="E92" t="s">
        <v>57</v>
      </c>
      <c r="F92" t="s">
        <v>60</v>
      </c>
      <c r="G92" t="s">
        <v>81</v>
      </c>
    </row>
    <row r="93" spans="1:7" x14ac:dyDescent="0.3">
      <c r="A93">
        <v>81</v>
      </c>
      <c r="B93" t="s">
        <v>57</v>
      </c>
      <c r="C93" t="s">
        <v>62</v>
      </c>
      <c r="D93" t="s">
        <v>80</v>
      </c>
      <c r="E93" t="s">
        <v>57</v>
      </c>
      <c r="F93" t="s">
        <v>63</v>
      </c>
      <c r="G93" t="s">
        <v>81</v>
      </c>
    </row>
    <row r="94" spans="1:7" x14ac:dyDescent="0.3">
      <c r="A94">
        <v>82</v>
      </c>
      <c r="B94" t="s">
        <v>57</v>
      </c>
      <c r="C94" t="s">
        <v>64</v>
      </c>
      <c r="D94" t="s">
        <v>80</v>
      </c>
      <c r="E94" t="s">
        <v>57</v>
      </c>
      <c r="F94" t="s">
        <v>65</v>
      </c>
      <c r="G94" t="s">
        <v>81</v>
      </c>
    </row>
    <row r="95" spans="1:7" x14ac:dyDescent="0.3">
      <c r="A95">
        <v>83</v>
      </c>
      <c r="B95" t="s">
        <v>57</v>
      </c>
      <c r="C95" t="s">
        <v>66</v>
      </c>
      <c r="D95" t="s">
        <v>80</v>
      </c>
      <c r="E95" t="s">
        <v>57</v>
      </c>
      <c r="F95" t="s">
        <v>67</v>
      </c>
      <c r="G95" t="s">
        <v>81</v>
      </c>
    </row>
    <row r="96" spans="1:7" x14ac:dyDescent="0.3">
      <c r="A96">
        <v>84</v>
      </c>
      <c r="B96" t="s">
        <v>57</v>
      </c>
      <c r="C96" t="s">
        <v>68</v>
      </c>
      <c r="D96" t="s">
        <v>80</v>
      </c>
      <c r="E96" t="s">
        <v>57</v>
      </c>
      <c r="F96" t="s">
        <v>69</v>
      </c>
      <c r="G96" t="s">
        <v>81</v>
      </c>
    </row>
    <row r="97" spans="1:7" x14ac:dyDescent="0.3">
      <c r="A97">
        <v>85</v>
      </c>
      <c r="B97" t="s">
        <v>57</v>
      </c>
      <c r="C97" t="s">
        <v>70</v>
      </c>
      <c r="D97" t="s">
        <v>80</v>
      </c>
      <c r="E97" t="s">
        <v>57</v>
      </c>
      <c r="F97" t="s">
        <v>71</v>
      </c>
      <c r="G97" t="s">
        <v>81</v>
      </c>
    </row>
    <row r="98" spans="1:7" x14ac:dyDescent="0.3">
      <c r="A98">
        <v>86</v>
      </c>
      <c r="B98" t="s">
        <v>57</v>
      </c>
      <c r="C98" t="s">
        <v>72</v>
      </c>
      <c r="D98" t="s">
        <v>80</v>
      </c>
      <c r="E98" t="s">
        <v>57</v>
      </c>
      <c r="F98" t="s">
        <v>73</v>
      </c>
      <c r="G98" t="s">
        <v>81</v>
      </c>
    </row>
    <row r="99" spans="1:7" x14ac:dyDescent="0.3">
      <c r="A99">
        <v>87</v>
      </c>
      <c r="B99" t="s">
        <v>57</v>
      </c>
      <c r="C99" t="s">
        <v>74</v>
      </c>
      <c r="D99" t="s">
        <v>80</v>
      </c>
      <c r="E99" t="s">
        <v>57</v>
      </c>
      <c r="F99" t="s">
        <v>75</v>
      </c>
      <c r="G99" t="s">
        <v>81</v>
      </c>
    </row>
    <row r="100" spans="1:7" x14ac:dyDescent="0.3">
      <c r="A100">
        <v>88</v>
      </c>
      <c r="B100" t="s">
        <v>57</v>
      </c>
      <c r="C100" t="s">
        <v>76</v>
      </c>
      <c r="D100" t="s">
        <v>80</v>
      </c>
      <c r="E100" t="s">
        <v>57</v>
      </c>
      <c r="F100" t="s">
        <v>77</v>
      </c>
      <c r="G100" t="s">
        <v>81</v>
      </c>
    </row>
    <row r="101" spans="1:7" x14ac:dyDescent="0.3">
      <c r="A101">
        <v>89</v>
      </c>
      <c r="B101" t="s">
        <v>57</v>
      </c>
      <c r="C101" t="s">
        <v>78</v>
      </c>
      <c r="D101" t="s">
        <v>80</v>
      </c>
      <c r="E101" t="s">
        <v>57</v>
      </c>
      <c r="F101" t="s">
        <v>79</v>
      </c>
      <c r="G101" t="s">
        <v>81</v>
      </c>
    </row>
    <row r="102" spans="1:7" x14ac:dyDescent="0.3">
      <c r="A102">
        <v>90</v>
      </c>
      <c r="B102" t="s">
        <v>57</v>
      </c>
      <c r="C102" t="s">
        <v>78</v>
      </c>
      <c r="D102" t="s">
        <v>59</v>
      </c>
      <c r="E102" t="s">
        <v>57</v>
      </c>
      <c r="F102" t="s">
        <v>79</v>
      </c>
      <c r="G102" t="s">
        <v>61</v>
      </c>
    </row>
    <row r="103" spans="1:7" x14ac:dyDescent="0.3">
      <c r="A103">
        <v>91</v>
      </c>
      <c r="B103" t="s">
        <v>57</v>
      </c>
      <c r="C103" t="s">
        <v>76</v>
      </c>
      <c r="D103" t="s">
        <v>59</v>
      </c>
      <c r="E103" t="s">
        <v>57</v>
      </c>
      <c r="F103" t="s">
        <v>77</v>
      </c>
      <c r="G103" t="s">
        <v>61</v>
      </c>
    </row>
    <row r="104" spans="1:7" x14ac:dyDescent="0.3">
      <c r="A104">
        <v>92</v>
      </c>
      <c r="B104" t="s">
        <v>57</v>
      </c>
      <c r="C104" t="s">
        <v>74</v>
      </c>
      <c r="D104" t="s">
        <v>59</v>
      </c>
      <c r="E104" t="s">
        <v>57</v>
      </c>
      <c r="F104" t="s">
        <v>75</v>
      </c>
      <c r="G104" t="s">
        <v>61</v>
      </c>
    </row>
    <row r="105" spans="1:7" x14ac:dyDescent="0.3">
      <c r="A105">
        <v>93</v>
      </c>
      <c r="B105" t="s">
        <v>57</v>
      </c>
      <c r="C105" t="s">
        <v>72</v>
      </c>
      <c r="D105" t="s">
        <v>59</v>
      </c>
      <c r="E105" t="s">
        <v>57</v>
      </c>
      <c r="F105" t="s">
        <v>73</v>
      </c>
      <c r="G105" t="s">
        <v>61</v>
      </c>
    </row>
    <row r="106" spans="1:7" x14ac:dyDescent="0.3">
      <c r="A106">
        <v>94</v>
      </c>
      <c r="B106" t="s">
        <v>57</v>
      </c>
      <c r="C106" t="s">
        <v>70</v>
      </c>
      <c r="D106" t="s">
        <v>59</v>
      </c>
      <c r="E106" t="s">
        <v>57</v>
      </c>
      <c r="F106" t="s">
        <v>71</v>
      </c>
      <c r="G106" t="s">
        <v>61</v>
      </c>
    </row>
    <row r="107" spans="1:7" x14ac:dyDescent="0.3">
      <c r="A107">
        <v>95</v>
      </c>
      <c r="B107" t="s">
        <v>57</v>
      </c>
      <c r="C107" t="s">
        <v>68</v>
      </c>
      <c r="D107" t="s">
        <v>59</v>
      </c>
      <c r="E107" t="s">
        <v>57</v>
      </c>
      <c r="F107" t="s">
        <v>69</v>
      </c>
      <c r="G107" t="s">
        <v>61</v>
      </c>
    </row>
    <row r="108" spans="1:7" x14ac:dyDescent="0.3">
      <c r="A108">
        <v>96</v>
      </c>
      <c r="B108" t="s">
        <v>57</v>
      </c>
      <c r="C108" t="s">
        <v>66</v>
      </c>
      <c r="D108" t="s">
        <v>59</v>
      </c>
      <c r="E108" t="s">
        <v>57</v>
      </c>
      <c r="F108" t="s">
        <v>67</v>
      </c>
      <c r="G108" t="s">
        <v>61</v>
      </c>
    </row>
    <row r="109" spans="1:7" x14ac:dyDescent="0.3">
      <c r="A109">
        <v>97</v>
      </c>
      <c r="B109" t="s">
        <v>57</v>
      </c>
      <c r="C109" t="s">
        <v>64</v>
      </c>
      <c r="D109" t="s">
        <v>59</v>
      </c>
      <c r="E109" t="s">
        <v>57</v>
      </c>
      <c r="F109" t="s">
        <v>65</v>
      </c>
      <c r="G109" t="s">
        <v>61</v>
      </c>
    </row>
    <row r="110" spans="1:7" x14ac:dyDescent="0.3">
      <c r="A110">
        <v>98</v>
      </c>
      <c r="B110" t="s">
        <v>57</v>
      </c>
      <c r="C110" t="s">
        <v>62</v>
      </c>
      <c r="D110" t="s">
        <v>59</v>
      </c>
      <c r="E110" t="s">
        <v>57</v>
      </c>
      <c r="F110" t="s">
        <v>63</v>
      </c>
      <c r="G110" t="s">
        <v>61</v>
      </c>
    </row>
    <row r="111" spans="1:7" x14ac:dyDescent="0.3">
      <c r="A111">
        <v>99</v>
      </c>
      <c r="B111" t="s">
        <v>57</v>
      </c>
      <c r="C111" t="s">
        <v>58</v>
      </c>
      <c r="D111" t="s">
        <v>59</v>
      </c>
      <c r="E111" t="s">
        <v>57</v>
      </c>
      <c r="F111" t="s">
        <v>60</v>
      </c>
      <c r="G111" t="s">
        <v>61</v>
      </c>
    </row>
    <row r="112" spans="1:7" x14ac:dyDescent="0.3">
      <c r="A112" s="15"/>
    </row>
    <row r="113" spans="1:1" x14ac:dyDescent="0.3">
      <c r="A113" s="15"/>
    </row>
    <row r="114" spans="1:1" x14ac:dyDescent="0.3">
      <c r="A114" s="15"/>
    </row>
    <row r="115" spans="1:1" x14ac:dyDescent="0.3">
      <c r="A115" s="15"/>
    </row>
    <row r="116" spans="1:1" x14ac:dyDescent="0.3">
      <c r="A116" s="15"/>
    </row>
    <row r="117" spans="1:1" x14ac:dyDescent="0.3">
      <c r="A117" s="15"/>
    </row>
    <row r="118" spans="1:1" x14ac:dyDescent="0.3">
      <c r="A118" s="15"/>
    </row>
    <row r="119" spans="1:1" x14ac:dyDescent="0.3">
      <c r="A119" s="15"/>
    </row>
    <row r="120" spans="1:1" x14ac:dyDescent="0.3">
      <c r="A120" s="15"/>
    </row>
    <row r="121" spans="1:1" x14ac:dyDescent="0.3">
      <c r="A121" s="15"/>
    </row>
    <row r="122" spans="1:1" x14ac:dyDescent="0.3">
      <c r="A122" s="15"/>
    </row>
    <row r="123" spans="1:1" x14ac:dyDescent="0.3">
      <c r="A123" s="15"/>
    </row>
    <row r="124" spans="1:1" x14ac:dyDescent="0.3">
      <c r="A124" s="15"/>
    </row>
    <row r="125" spans="1:1" x14ac:dyDescent="0.3">
      <c r="A125" s="15"/>
    </row>
    <row r="126" spans="1:1" x14ac:dyDescent="0.3">
      <c r="A126" s="15"/>
    </row>
    <row r="127" spans="1:1" x14ac:dyDescent="0.3">
      <c r="A127" s="15"/>
    </row>
    <row r="128" spans="1:1" x14ac:dyDescent="0.3">
      <c r="A128" s="15"/>
    </row>
    <row r="129" spans="1:1" x14ac:dyDescent="0.3">
      <c r="A129" s="15"/>
    </row>
    <row r="130" spans="1:1" x14ac:dyDescent="0.3">
      <c r="A130" s="15"/>
    </row>
    <row r="131" spans="1:1" x14ac:dyDescent="0.3">
      <c r="A131" s="15"/>
    </row>
    <row r="132" spans="1:1" x14ac:dyDescent="0.3">
      <c r="A132" s="15"/>
    </row>
    <row r="133" spans="1:1" x14ac:dyDescent="0.3">
      <c r="A133" s="15"/>
    </row>
    <row r="134" spans="1:1" x14ac:dyDescent="0.3">
      <c r="A134" s="15"/>
    </row>
    <row r="135" spans="1:1" x14ac:dyDescent="0.3">
      <c r="A135" s="15"/>
    </row>
    <row r="136" spans="1:1" x14ac:dyDescent="0.3">
      <c r="A136" s="15"/>
    </row>
    <row r="137" spans="1:1" x14ac:dyDescent="0.3">
      <c r="A137" s="15"/>
    </row>
    <row r="138" spans="1:1" x14ac:dyDescent="0.3">
      <c r="A138" s="15"/>
    </row>
    <row r="139" spans="1:1" x14ac:dyDescent="0.3">
      <c r="A139" s="15"/>
    </row>
    <row r="140" spans="1:1" x14ac:dyDescent="0.3">
      <c r="A140" s="15"/>
    </row>
    <row r="141" spans="1:1" x14ac:dyDescent="0.3">
      <c r="A141" s="15"/>
    </row>
    <row r="142" spans="1:1" x14ac:dyDescent="0.3">
      <c r="A142" s="15"/>
    </row>
    <row r="143" spans="1:1" x14ac:dyDescent="0.3">
      <c r="A143" s="15"/>
    </row>
    <row r="144" spans="1:1" x14ac:dyDescent="0.3">
      <c r="A144" s="15"/>
    </row>
    <row r="145" spans="1:1" x14ac:dyDescent="0.3">
      <c r="A145" s="15"/>
    </row>
    <row r="146" spans="1:1" x14ac:dyDescent="0.3">
      <c r="A146" s="15"/>
    </row>
    <row r="147" spans="1:1" x14ac:dyDescent="0.3">
      <c r="A147" s="15"/>
    </row>
    <row r="148" spans="1:1" x14ac:dyDescent="0.3">
      <c r="A148" s="15"/>
    </row>
    <row r="149" spans="1:1" x14ac:dyDescent="0.3">
      <c r="A149" s="15"/>
    </row>
    <row r="150" spans="1:1" x14ac:dyDescent="0.3">
      <c r="A150" s="15"/>
    </row>
    <row r="151" spans="1:1" x14ac:dyDescent="0.3">
      <c r="A151" s="15"/>
    </row>
    <row r="152" spans="1:1" x14ac:dyDescent="0.3">
      <c r="A152" s="15"/>
    </row>
    <row r="153" spans="1:1" x14ac:dyDescent="0.3">
      <c r="A153" s="15"/>
    </row>
    <row r="154" spans="1:1" x14ac:dyDescent="0.3">
      <c r="A154" s="15"/>
    </row>
    <row r="155" spans="1:1" x14ac:dyDescent="0.3">
      <c r="A155" s="15"/>
    </row>
    <row r="156" spans="1:1" x14ac:dyDescent="0.3">
      <c r="A156" s="15"/>
    </row>
    <row r="157" spans="1:1" x14ac:dyDescent="0.3">
      <c r="A157" s="15"/>
    </row>
    <row r="158" spans="1:1" x14ac:dyDescent="0.3">
      <c r="A158" s="15"/>
    </row>
    <row r="159" spans="1:1" x14ac:dyDescent="0.3">
      <c r="A159" s="15"/>
    </row>
    <row r="160" spans="1:1" x14ac:dyDescent="0.3">
      <c r="A160" s="15"/>
    </row>
    <row r="161" spans="1:1" x14ac:dyDescent="0.3">
      <c r="A161" s="15"/>
    </row>
    <row r="162" spans="1:1" x14ac:dyDescent="0.3">
      <c r="A162" s="15"/>
    </row>
    <row r="163" spans="1:1" x14ac:dyDescent="0.3">
      <c r="A163" s="15"/>
    </row>
    <row r="164" spans="1:1" x14ac:dyDescent="0.3">
      <c r="A164" s="15"/>
    </row>
    <row r="165" spans="1:1" x14ac:dyDescent="0.3">
      <c r="A165" s="15"/>
    </row>
    <row r="166" spans="1:1" x14ac:dyDescent="0.3">
      <c r="A166" s="15"/>
    </row>
    <row r="167" spans="1:1" x14ac:dyDescent="0.3">
      <c r="A167" s="15"/>
    </row>
    <row r="168" spans="1:1" x14ac:dyDescent="0.3">
      <c r="A168" s="15"/>
    </row>
    <row r="169" spans="1:1" x14ac:dyDescent="0.3">
      <c r="A169" s="15"/>
    </row>
    <row r="170" spans="1:1" x14ac:dyDescent="0.3">
      <c r="A170" s="15"/>
    </row>
    <row r="171" spans="1:1" x14ac:dyDescent="0.3">
      <c r="A171" s="15"/>
    </row>
    <row r="172" spans="1:1" x14ac:dyDescent="0.3">
      <c r="A172" s="15"/>
    </row>
    <row r="173" spans="1:1" x14ac:dyDescent="0.3">
      <c r="A173" s="15"/>
    </row>
    <row r="174" spans="1:1" x14ac:dyDescent="0.3">
      <c r="A174" s="15"/>
    </row>
    <row r="175" spans="1:1" x14ac:dyDescent="0.3">
      <c r="A175" s="15"/>
    </row>
    <row r="176" spans="1:1" x14ac:dyDescent="0.3">
      <c r="A176" s="15"/>
    </row>
    <row r="177" spans="1:1" x14ac:dyDescent="0.3">
      <c r="A177" s="15"/>
    </row>
    <row r="178" spans="1:1" x14ac:dyDescent="0.3">
      <c r="A178" s="15"/>
    </row>
    <row r="179" spans="1:1" x14ac:dyDescent="0.3">
      <c r="A179" s="15"/>
    </row>
    <row r="180" spans="1:1" x14ac:dyDescent="0.3">
      <c r="A180" s="15"/>
    </row>
    <row r="181" spans="1:1" x14ac:dyDescent="0.3">
      <c r="A181" s="15"/>
    </row>
    <row r="182" spans="1:1" x14ac:dyDescent="0.3">
      <c r="A182" s="15"/>
    </row>
    <row r="183" spans="1:1" x14ac:dyDescent="0.3">
      <c r="A183" s="15"/>
    </row>
    <row r="184" spans="1:1" x14ac:dyDescent="0.3">
      <c r="A184" s="15"/>
    </row>
    <row r="185" spans="1:1" x14ac:dyDescent="0.3">
      <c r="A185" s="15"/>
    </row>
    <row r="186" spans="1:1" x14ac:dyDescent="0.3">
      <c r="A186" s="15"/>
    </row>
    <row r="187" spans="1:1" x14ac:dyDescent="0.3">
      <c r="A187" s="15"/>
    </row>
    <row r="188" spans="1:1" x14ac:dyDescent="0.3">
      <c r="A188" s="15"/>
    </row>
    <row r="189" spans="1:1" x14ac:dyDescent="0.3">
      <c r="A189" s="15"/>
    </row>
    <row r="190" spans="1:1" x14ac:dyDescent="0.3">
      <c r="A190" s="15"/>
    </row>
    <row r="191" spans="1:1" x14ac:dyDescent="0.3">
      <c r="A191" s="15"/>
    </row>
    <row r="192" spans="1:1" x14ac:dyDescent="0.3">
      <c r="A192" s="15"/>
    </row>
    <row r="193" spans="1:1" x14ac:dyDescent="0.3">
      <c r="A193" s="15"/>
    </row>
    <row r="194" spans="1:1" x14ac:dyDescent="0.3">
      <c r="A194" s="15"/>
    </row>
    <row r="195" spans="1:1" x14ac:dyDescent="0.3">
      <c r="A195" s="15"/>
    </row>
    <row r="196" spans="1:1" x14ac:dyDescent="0.3">
      <c r="A196" s="15"/>
    </row>
    <row r="197" spans="1:1" x14ac:dyDescent="0.3">
      <c r="A197" s="15"/>
    </row>
    <row r="198" spans="1:1" x14ac:dyDescent="0.3">
      <c r="A198" s="15"/>
    </row>
    <row r="199" spans="1:1" x14ac:dyDescent="0.3">
      <c r="A199" s="15"/>
    </row>
    <row r="200" spans="1:1" x14ac:dyDescent="0.3">
      <c r="A200" s="15"/>
    </row>
    <row r="201" spans="1:1" x14ac:dyDescent="0.3">
      <c r="A201" s="15"/>
    </row>
    <row r="202" spans="1:1" x14ac:dyDescent="0.3">
      <c r="A202" s="15"/>
    </row>
    <row r="203" spans="1:1" x14ac:dyDescent="0.3">
      <c r="A203" s="15"/>
    </row>
    <row r="204" spans="1:1" x14ac:dyDescent="0.3">
      <c r="A204" s="15"/>
    </row>
    <row r="205" spans="1:1" x14ac:dyDescent="0.3">
      <c r="A205" s="15"/>
    </row>
    <row r="206" spans="1:1" x14ac:dyDescent="0.3">
      <c r="A206" s="15"/>
    </row>
    <row r="207" spans="1:1" x14ac:dyDescent="0.3">
      <c r="A207" s="15"/>
    </row>
    <row r="208" spans="1:1" x14ac:dyDescent="0.3">
      <c r="A208" s="15"/>
    </row>
    <row r="209" spans="1:1" x14ac:dyDescent="0.3">
      <c r="A209" s="15"/>
    </row>
    <row r="210" spans="1:1" x14ac:dyDescent="0.3">
      <c r="A210" s="15"/>
    </row>
    <row r="211" spans="1:1" x14ac:dyDescent="0.3">
      <c r="A211" s="15"/>
    </row>
  </sheetData>
  <sortState xmlns:xlrd2="http://schemas.microsoft.com/office/spreadsheetml/2017/richdata2" ref="A12:G210">
    <sortCondition ref="A12:A210"/>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Calculator</vt:lpstr>
      <vt:lpstr>Reshimming</vt:lpstr>
      <vt:lpstr>z_tramming_Calc</vt:lpstr>
      <vt:lpstr>Mesh_Data</vt:lpstr>
      <vt:lpstr>Compensator</vt:lpstr>
      <vt:lpstr>Calculate_Compensator_Matrix</vt:lpstr>
      <vt:lpstr>Nozzle_Probe_Points</vt:lpstr>
      <vt:lpstr>PROBE POINTS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Dyrkacz</dc:creator>
  <cp:lastModifiedBy>Gary Dyrkacz</cp:lastModifiedBy>
  <dcterms:created xsi:type="dcterms:W3CDTF">2025-01-08T14:57:04Z</dcterms:created>
  <dcterms:modified xsi:type="dcterms:W3CDTF">2025-11-16T17:12:03Z</dcterms:modified>
</cp:coreProperties>
</file>